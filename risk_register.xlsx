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gend" sheetId="1" state="visible" r:id="rId3"/>
    <sheet name="Register" sheetId="2" state="visible" r:id="rId4"/>
    <sheet name="Heat Map" sheetId="3" state="visible" r:id="rId5"/>
    <sheet name="Summary" sheetId="4" state="visible" r:id="rId6"/>
    <sheet name="Scale" sheetId="5" state="visible" r:id="rId7"/>
  </sheets>
  <definedNames>
    <definedName function="false" hidden="true" localSheetId="1" name="_xlnm._FilterDatabase" vbProcedure="false">Register!$A$4:$V$19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<sst xmlns="http://schemas.openxmlformats.org/spreadsheetml/2006/main" count="295" uniqueCount="201">
  <si>
    <t xml:space="preserve">Risk Register: How to Use This Workbook</t>
  </si>
  <si>
    <t xml:space="preserve">Formula-driven register built from ITGC testing, a vulnerability assessment and an enterprise risk list</t>
  </si>
  <si>
    <t xml:space="preserve">Sheets</t>
  </si>
  <si>
    <t xml:space="preserve">Register</t>
  </si>
  <si>
    <t xml:space="preserve">One row per risk. Edit the blue cells. Scores, ratings, flags and rank are formulas.</t>
  </si>
  <si>
    <t xml:space="preserve">Heat Map</t>
  </si>
  <si>
    <t xml:space="preserve">5x5 likelihood and impact grids (inherent and residual) with live risk counts per cell.</t>
  </si>
  <si>
    <t xml:space="preserve">Summary</t>
  </si>
  <si>
    <t xml:space="preserve">Counts by rating, status, source and category, plus the top 5 risks and a chart.</t>
  </si>
  <si>
    <t xml:space="preserve">Scale</t>
  </si>
  <si>
    <t xml:space="preserve">Rating thresholds, report as-of date, and the 1-5 likelihood and impact definitions.</t>
  </si>
  <si>
    <t xml:space="preserve">Cell colour key</t>
  </si>
  <si>
    <t xml:space="preserve">Blue text</t>
  </si>
  <si>
    <t xml:space="preserve">Input. Safe to change.</t>
  </si>
  <si>
    <t xml:space="preserve">Black text</t>
  </si>
  <si>
    <t xml:space="preserve">Formula. Do not overwrite.</t>
  </si>
  <si>
    <t xml:space="preserve">To add a risk</t>
  </si>
  <si>
    <t xml:space="preserve">Copy the last filled row on Register down one row (formulas included) and edit the blue cells. Formulas on Heat Map and Summary read rows 5 to 54 of Register.</t>
  </si>
  <si>
    <t xml:space="preserve">To change the rating bands</t>
  </si>
  <si>
    <t xml:space="preserve">Edit the minimum scores on Scale (B5:B8). Ratings and heat map colours update.</t>
  </si>
  <si>
    <t xml:space="preserve">To change the as-of date</t>
  </si>
  <si>
    <t xml:space="preserve">Edit Scale!B11. Days to Target and the OVERDUE flag update. Use =TODAY() there for a live view.</t>
  </si>
  <si>
    <t xml:space="preserve">Assumptions</t>
  </si>
  <si>
    <t xml:space="preserve">Scoring</t>
  </si>
  <si>
    <t xml:space="preserve">Score = likelihood x impact, each 1 to 5, giving 1 to 25. Same bands as the risk-register-tracker repo.</t>
  </si>
  <si>
    <t xml:space="preserve">Inherent vs residual</t>
  </si>
  <si>
    <t xml:space="preserve">Inherent = before the planned mitigation. Residual = after it is fully in place (a target, not a measurement).</t>
  </si>
  <si>
    <t xml:space="preserve">Sources</t>
  </si>
  <si>
    <t xml:space="preserve">R-01 to R-04 come from the itgc-controls-testing repo. R-05 to R-08 come from the vulnerability-assessment-report repo. R-09 to R-15 are the enterprise risks from the risk-register-tracker repo.</t>
  </si>
  <si>
    <t xml:space="preserve">Rescaling</t>
  </si>
  <si>
    <t xml:space="preserve">The vulnerability assessment scored on a 1 to 3 scale. Those risks are rescored here on 1 to 5; the original scores are recorded in each description. The new scores are my judgment, not measured data.</t>
  </si>
  <si>
    <t xml:space="preserve">Data</t>
  </si>
  <si>
    <t xml:space="preserve">All data is synthetic and for portfolio demonstration. Dates and owners are illustrative.</t>
  </si>
  <si>
    <t xml:space="preserve">Risk Register</t>
  </si>
  <si>
    <t xml:space="preserve">Blue cells are inputs; black cells are formulas. Rows 5 to 54 feed the other sheets.</t>
  </si>
  <si>
    <t xml:space="preserve">Risk ID</t>
  </si>
  <si>
    <t xml:space="preserve">Risk Title</t>
  </si>
  <si>
    <t xml:space="preserve">Category</t>
  </si>
  <si>
    <t xml:space="preserve">Source</t>
  </si>
  <si>
    <t xml:space="preserve">Description</t>
  </si>
  <si>
    <t xml:space="preserve">Likelihood (1-5)</t>
  </si>
  <si>
    <t xml:space="preserve">Impact (1-5)</t>
  </si>
  <si>
    <t xml:space="preserve">Inherent Score</t>
  </si>
  <si>
    <t xml:space="preserve">Inherent Rating</t>
  </si>
  <si>
    <t xml:space="preserve">Risk Owner</t>
  </si>
  <si>
    <t xml:space="preserve">Treatment</t>
  </si>
  <si>
    <t xml:space="preserve">Mitigation / Response</t>
  </si>
  <si>
    <t xml:space="preserve">Residual Likelihood</t>
  </si>
  <si>
    <t xml:space="preserve">Residual Impact</t>
  </si>
  <si>
    <t xml:space="preserve">Residual Score</t>
  </si>
  <si>
    <t xml:space="preserve">Residual Rating</t>
  </si>
  <si>
    <t xml:space="preserve">Risk Reduction</t>
  </si>
  <si>
    <t xml:space="preserve">Status</t>
  </si>
  <si>
    <t xml:space="preserve">Target Date</t>
  </si>
  <si>
    <t xml:space="preserve">Days to Target</t>
  </si>
  <si>
    <t xml:space="preserve">Overdue?</t>
  </si>
  <si>
    <t xml:space="preserve">Rank Key (helper)</t>
  </si>
  <si>
    <t xml:space="preserve">R-01</t>
  </si>
  <si>
    <t xml:space="preserve">Terminated users retain active ERP access</t>
  </si>
  <si>
    <t xml:space="preserve">Access Control</t>
  </si>
  <si>
    <t xml:space="preserve">ITGC Testing</t>
  </si>
  <si>
    <t xml:space="preserve">Control 1 test: U1003 (terminated 2026-05-15) and U1010 (terminated 2026-06-02) were still Active in the finance ERP at the 2026-06-15 audit date.</t>
  </si>
  <si>
    <t xml:space="preserve">IT Security</t>
  </si>
  <si>
    <t xml:space="preserve">Mitigate</t>
  </si>
  <si>
    <t xml:space="preserve">Disable both accounts now; trigger deprovisioning from HR termination events; reconcile HR terminations to active accounts monthly.</t>
  </si>
  <si>
    <t xml:space="preserve">In Progress</t>
  </si>
  <si>
    <t xml:space="preserve">R-02</t>
  </si>
  <si>
    <t xml:space="preserve">Periodic access reviews overdue</t>
  </si>
  <si>
    <t xml:space="preserve">Control 2 test: U1010 (last review 2025-11-01) and U1016 (2025-09-01) are past the six-month review cycle.</t>
  </si>
  <si>
    <t xml:space="preserve">Finance Controller</t>
  </si>
  <si>
    <t xml:space="preserve">Complete the overdue reviews; calendar semi-annual recertification with manager sign-off tracked to completion.</t>
  </si>
  <si>
    <t xml:space="preserve">R-03</t>
  </si>
  <si>
    <t xml:space="preserve">Production changes without independent approval</t>
  </si>
  <si>
    <t xml:space="preserve">Change Management</t>
  </si>
  <si>
    <t xml:space="preserve">Control 3 test: CH-2203 and CH-2207 had no approver; CH-2206 was approved (2026-05-18) after it was implemented (2026-05-14); CH-2208 was self-approved.</t>
  </si>
  <si>
    <t xml:space="preserve">IT Infrastructure</t>
  </si>
  <si>
    <t xml:space="preserve">Block deployment in the ticketing system until an independent approval is logged; prevent requester from approving own change; review the four changes after the fact.</t>
  </si>
  <si>
    <t xml:space="preserve">Open</t>
  </si>
  <si>
    <t xml:space="preserve">R-04</t>
  </si>
  <si>
    <t xml:space="preserve">AP and Purchasing roles held by one user</t>
  </si>
  <si>
    <t xml:space="preserve">Segregation of Duties</t>
  </si>
  <si>
    <t xml:space="preserve">Control 4 test: U1016 holds AP Clerk and Purchasing Agent, so one person can create a purchase order and process its payment.</t>
  </si>
  <si>
    <t xml:space="preserve">Remove the Purchasing Agent role, or add supervisor review of all payments this user processes until it is removed.</t>
  </si>
  <si>
    <t xml:space="preserve">R-05</t>
  </si>
  <si>
    <t xml:space="preserve">Customer database reachable from the public internet</t>
  </si>
  <si>
    <t xml:space="preserve">Network Security</t>
  </si>
  <si>
    <t xml:space="preserve">Vulnerability Assessment</t>
  </si>
  <si>
    <t xml:space="preserve">The customer database server has accepted connections from any public address since launch. Assessment scored data exfiltration 3x3 on a 1-3 scale; rescored 4x5 here.</t>
  </si>
  <si>
    <t xml:space="preserve">Restrict inbound access to an allow-list of office and VPN egress addresses; require MFA for administrative access.</t>
  </si>
  <si>
    <t xml:space="preserve">R-06</t>
  </si>
  <si>
    <t xml:space="preserve">Automated scanners find the exposed database</t>
  </si>
  <si>
    <t xml:space="preserve">Public database ports are scanned continuously and can become a foothold for further attacks. Assessment scored 3x2; rescored 5x3 here.</t>
  </si>
  <si>
    <t xml:space="preserve">Same allow-list as R-05; alert on connection attempts from outside the allow-list.</t>
  </si>
  <si>
    <t xml:space="preserve">R-07</t>
  </si>
  <si>
    <t xml:space="preserve">Employee alters or deletes customer records</t>
  </si>
  <si>
    <t xml:space="preserve">Data Protection</t>
  </si>
  <si>
    <t xml:space="preserve">A malicious or careless employee changes or deletes records, disrupting sales operations. Assessment scored 2x2; rescored 2x3 here.</t>
  </si>
  <si>
    <t xml:space="preserve">Role-based access with read-only query access for sales staff; audit logging on write operations.</t>
  </si>
  <si>
    <t xml:space="preserve">R-08</t>
  </si>
  <si>
    <t xml:space="preserve">Database connections use deprecated SSL</t>
  </si>
  <si>
    <t xml:space="preserve">The assessment recommended moving from SSL to TLS 1.2 or higher on all permitted connections because SSL has known weaknesses.</t>
  </si>
  <si>
    <t xml:space="preserve">Disable SSL, enforce TLS 1.2 or higher, and confirm with a configuration scan.</t>
  </si>
  <si>
    <t xml:space="preserve">R-09</t>
  </si>
  <si>
    <t xml:space="preserve">Unpatched ERP server vulnerability</t>
  </si>
  <si>
    <t xml:space="preserve">Vulnerability Management</t>
  </si>
  <si>
    <t xml:space="preserve">Enterprise Register</t>
  </si>
  <si>
    <t xml:space="preserve">Critical CVE identified on the production ERP application server; no patch applied yet.</t>
  </si>
  <si>
    <t xml:space="preserve">Apply the vendor patch in the next maintenance window; add a compensating WAF rule in the interim.</t>
  </si>
  <si>
    <t xml:space="preserve">R-10</t>
  </si>
  <si>
    <t xml:space="preserve">No MFA on remote VPN access</t>
  </si>
  <si>
    <t xml:space="preserve">Remote access to the internal network does not require multi-factor authentication.</t>
  </si>
  <si>
    <t xml:space="preserve">Roll out MFA enforcement for all VPN users.</t>
  </si>
  <si>
    <t xml:space="preserve">R-11</t>
  </si>
  <si>
    <t xml:space="preserve">No tested ransomware response runbook</t>
  </si>
  <si>
    <t xml:space="preserve">Incident Response</t>
  </si>
  <si>
    <t xml:space="preserve">The organization has no documented, tested runbook for a ransomware scenario.</t>
  </si>
  <si>
    <t xml:space="preserve">Draft the runbook and run a tabletop exercise to test it.</t>
  </si>
  <si>
    <t xml:space="preserve">R-12</t>
  </si>
  <si>
    <t xml:space="preserve">Shared admin credentials on legacy file server</t>
  </si>
  <si>
    <t xml:space="preserve">A legacy file server uses one shared administrator account instead of individual accounts.</t>
  </si>
  <si>
    <t xml:space="preserve">Migrate to individual admin accounts with logging enabled.</t>
  </si>
  <si>
    <t xml:space="preserve">R-13</t>
  </si>
  <si>
    <t xml:space="preserve">Backup restoration untested for over a year</t>
  </si>
  <si>
    <t xml:space="preserve">Business Continuity</t>
  </si>
  <si>
    <t xml:space="preserve">The restoration procedure for the financial database had not been tested in over a year.</t>
  </si>
  <si>
    <t xml:space="preserve">Run and document a full restoration test.</t>
  </si>
  <si>
    <t xml:space="preserve">Closed</t>
  </si>
  <si>
    <t xml:space="preserve">R-14</t>
  </si>
  <si>
    <t xml:space="preserve">Payroll data in unencrypted spreadsheets</t>
  </si>
  <si>
    <t xml:space="preserve">Payroll data was found in unencrypted spreadsheets on a shared drive.</t>
  </si>
  <si>
    <t xml:space="preserve">Move the data to an access-controlled system and encrypt existing files.</t>
  </si>
  <si>
    <t xml:space="preserve">R-15</t>
  </si>
  <si>
    <t xml:space="preserve">Critical vendor risk assessments out of date</t>
  </si>
  <si>
    <t xml:space="preserve">Third-Party Risk</t>
  </si>
  <si>
    <t xml:space="preserve">Several critical vendors have not been reassessed in over 18 months.</t>
  </si>
  <si>
    <t xml:space="preserve">Procurement</t>
  </si>
  <si>
    <t xml:space="preserve">Reassess all critical vendors now and move to a 12-month cycle.</t>
  </si>
  <si>
    <t xml:space="preserve">Risk Heat Maps</t>
  </si>
  <si>
    <t xml:space="preserve">Each cell counts the risks at that likelihood and impact. Colour = rating band for that cell.</t>
  </si>
  <si>
    <t xml:space="preserve">Inherent risk (before mitigation)</t>
  </si>
  <si>
    <t xml:space="preserve">Likelihood</t>
  </si>
  <si>
    <t xml:space="preserve">Impact</t>
  </si>
  <si>
    <t xml:space="preserve">Total</t>
  </si>
  <si>
    <t xml:space="preserve">Residual risk (after planned mitigation)</t>
  </si>
  <si>
    <t xml:space="preserve">Risk Summary</t>
  </si>
  <si>
    <t xml:space="preserve">All figures are formulas over the Register sheet.</t>
  </si>
  <si>
    <t xml:space="preserve">Risks by rating</t>
  </si>
  <si>
    <t xml:space="preserve">Key figures</t>
  </si>
  <si>
    <t xml:space="preserve">Rating</t>
  </si>
  <si>
    <t xml:space="preserve">Inherent</t>
  </si>
  <si>
    <t xml:space="preserve">Residual</t>
  </si>
  <si>
    <t xml:space="preserve">Average inherent score</t>
  </si>
  <si>
    <t xml:space="preserve">Critical</t>
  </si>
  <si>
    <t xml:space="preserve">Average residual score</t>
  </si>
  <si>
    <t xml:space="preserve">High</t>
  </si>
  <si>
    <t xml:space="preserve">Average risk reduction</t>
  </si>
  <si>
    <t xml:space="preserve">Medium</t>
  </si>
  <si>
    <t xml:space="preserve">Open or in-progress risks</t>
  </si>
  <si>
    <t xml:space="preserve">Low</t>
  </si>
  <si>
    <t xml:space="preserve">Overdue mitigations</t>
  </si>
  <si>
    <t xml:space="preserve">Risks by status</t>
  </si>
  <si>
    <t xml:space="preserve">Risks by source</t>
  </si>
  <si>
    <t xml:space="preserve">Count</t>
  </si>
  <si>
    <t xml:space="preserve">Risks by category</t>
  </si>
  <si>
    <t xml:space="preserve">Total inherent score</t>
  </si>
  <si>
    <t xml:space="preserve">Top 5 risks by inherent score</t>
  </si>
  <si>
    <t xml:space="preserve">Rank</t>
  </si>
  <si>
    <t xml:space="preserve">Title</t>
  </si>
  <si>
    <t xml:space="preserve">Owner</t>
  </si>
  <si>
    <t xml:space="preserve">Scoring Scale and Settings</t>
  </si>
  <si>
    <t xml:space="preserve">Min score</t>
  </si>
  <si>
    <t xml:space="preserve">Meaning</t>
  </si>
  <si>
    <t xml:space="preserve">Accept or monitor</t>
  </si>
  <si>
    <t xml:space="preserve">Mitigate within the planning cycle</t>
  </si>
  <si>
    <t xml:space="preserve">Mitigate with an owner and a dated plan</t>
  </si>
  <si>
    <t xml:space="preserve">Escalate to management; mitigate first</t>
  </si>
  <si>
    <t xml:space="preserve">Settings</t>
  </si>
  <si>
    <t xml:space="preserve">Report as-of date</t>
  </si>
  <si>
    <t xml:space="preserve">Input. Fixed so results are reproducible; replace with =TODAY() for a live view.</t>
  </si>
  <si>
    <t xml:space="preserve">Level</t>
  </si>
  <si>
    <t xml:space="preserve">Definition</t>
  </si>
  <si>
    <t xml:space="preserve">Rare</t>
  </si>
  <si>
    <t xml:space="preserve">Not expected in the next 12 months</t>
  </si>
  <si>
    <t xml:space="preserve">Unlikely</t>
  </si>
  <si>
    <t xml:space="preserve">Could occur, but no recent indicators</t>
  </si>
  <si>
    <t xml:space="preserve">Possible</t>
  </si>
  <si>
    <t xml:space="preserve">Has occurred in similar organizations or shows some indicators</t>
  </si>
  <si>
    <t xml:space="preserve">Likely</t>
  </si>
  <si>
    <t xml:space="preserve">Weakness is confirmed and exploitable with little effort</t>
  </si>
  <si>
    <t xml:space="preserve">Almost certain</t>
  </si>
  <si>
    <t xml:space="preserve">Exposed now or already occurring</t>
  </si>
  <si>
    <t xml:space="preserve">Minimal</t>
  </si>
  <si>
    <t xml:space="preserve">Negligible cost or disruption</t>
  </si>
  <si>
    <t xml:space="preserve">Minor</t>
  </si>
  <si>
    <t xml:space="preserve">Limited disruption, absorbed in normal operations</t>
  </si>
  <si>
    <t xml:space="preserve">Moderate</t>
  </si>
  <si>
    <t xml:space="preserve">Noticeable disruption or loss of one function or dataset</t>
  </si>
  <si>
    <t xml:space="preserve">Major</t>
  </si>
  <si>
    <t xml:space="preserve">Financial reporting error, data breach or audit finding</t>
  </si>
  <si>
    <t xml:space="preserve">Severe</t>
  </si>
  <si>
    <t xml:space="preserve">Material misstatement, large breach or extended outage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</si>
</sst>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%"/>
    <numFmt numFmtId="167" formatCode="yyyy\-mm\-dd"/>
    <numFmt numFmtId="168" formatCode="0.00000"/>
    <numFmt numFmtId="169" formatCode="0;\-0;;"/>
    <numFmt numFmtId="170" formatCode="0.0"/>
    <numFmt numFmtId="17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FFC7CE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Risks by rating: inherent vs residual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Summary!$B$6:$B$9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Summary!C5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Summary!$C$6:$C$9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22378873"/>
        <c:axId val="24263430"/>
      </c:barChart>
      <c:catAx>
        <c:axId val="22378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63430"/>
        <c:crosses val="autoZero"/>
        <c:auto val="1"/>
        <c:lblAlgn val="ctr"/>
        <c:lblOffset val="100"/>
        <c:noMultiLvlLbl val="0"/>
      </c:catAx>
      <c:valAx>
        <c:axId val="2426343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risks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78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117482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6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4" customFormat="false" ht="23.85" hidden="false" customHeight="false" outlineLevel="0" collapsed="false">
      <c r="A14" s="4" t="s">
        <v>16</v>
      </c>
      <c r="B14" s="5" t="s">
        <v>17</v>
      </c>
    </row>
    <row r="15" customFormat="false" ht="15" hidden="false" customHeight="false" outlineLevel="0" collapsed="false">
      <c r="A15" s="4" t="s">
        <v>18</v>
      </c>
      <c r="B15" s="5" t="s">
        <v>19</v>
      </c>
    </row>
    <row r="16" customFormat="false" ht="15" hidden="false" customHeight="false" outlineLevel="0" collapsed="false">
      <c r="A16" s="4" t="s">
        <v>20</v>
      </c>
      <c r="B16" s="5" t="s">
        <v>21</v>
      </c>
    </row>
    <row r="18" customFormat="false" ht="15" hidden="false" customHeight="false" outlineLevel="0" collapsed="false">
      <c r="A18" s="3" t="s">
        <v>22</v>
      </c>
    </row>
    <row r="19" customFormat="false" ht="15" hidden="false" customHeight="false" outlineLevel="0" collapsed="false">
      <c r="A19" s="4" t="s">
        <v>23</v>
      </c>
      <c r="B19" s="5" t="s">
        <v>24</v>
      </c>
    </row>
    <row r="20" customFormat="false" ht="15" hidden="false" customHeight="false" outlineLevel="0" collapsed="false">
      <c r="A20" s="4" t="s">
        <v>25</v>
      </c>
      <c r="B20" s="5" t="s">
        <v>26</v>
      </c>
    </row>
    <row r="21" customFormat="false" ht="23.85" hidden="false" customHeight="false" outlineLevel="0" collapsed="false">
      <c r="A21" s="4" t="s">
        <v>27</v>
      </c>
      <c r="B21" s="5" t="s">
        <v>28</v>
      </c>
    </row>
    <row r="22" customFormat="false" ht="23.85" hidden="false" customHeight="false" outlineLevel="0" collapsed="false">
      <c r="A22" s="4" t="s">
        <v>29</v>
      </c>
      <c r="B22" s="5" t="s">
        <v>30</v>
      </c>
    </row>
    <row r="23" customFormat="false" ht="15" hidden="false" customHeight="false" outlineLevel="0" collapsed="false">
      <c r="A23" s="4" t="s">
        <v>31</v>
      </c>
      <c r="B23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1"/>
    <col collapsed="false" customWidth="true" hidden="false" outlineLevel="0" max="12" min="12" style="0" width="46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0"/>
    <col collapsed="false" customWidth="true" hidden="false" outlineLevel="0" max="22" min="21" style="0" width="11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42" hidden="false" customHeight="tru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  <c r="G4" s="7" t="s">
        <v>41</v>
      </c>
      <c r="H4" s="7" t="s">
        <v>42</v>
      </c>
      <c r="I4" s="7" t="s">
        <v>43</v>
      </c>
      <c r="J4" s="7" t="s">
        <v>44</v>
      </c>
      <c r="K4" s="7" t="s">
        <v>45</v>
      </c>
      <c r="L4" s="7" t="s">
        <v>46</v>
      </c>
      <c r="M4" s="7" t="s">
        <v>47</v>
      </c>
      <c r="N4" s="7" t="s">
        <v>48</v>
      </c>
      <c r="O4" s="7" t="s">
        <v>49</v>
      </c>
      <c r="P4" s="7" t="s">
        <v>50</v>
      </c>
      <c r="Q4" s="7" t="s">
        <v>51</v>
      </c>
      <c r="R4" s="7" t="s">
        <v>52</v>
      </c>
      <c r="S4" s="7" t="s">
        <v>53</v>
      </c>
      <c r="T4" s="7" t="s">
        <v>54</v>
      </c>
      <c r="U4" s="7" t="s">
        <v>55</v>
      </c>
      <c r="V4" s="7" t="s">
        <v>56</v>
      </c>
    </row>
    <row r="5" customFormat="false" ht="63.75" hidden="false" customHeight="true" outlineLevel="0" collapsed="false">
      <c r="A5" s="8" t="s">
        <v>57</v>
      </c>
      <c r="B5" s="9" t="s">
        <v>58</v>
      </c>
      <c r="C5" s="9" t="s">
        <v>59</v>
      </c>
      <c r="D5" s="9" t="s">
        <v>60</v>
      </c>
      <c r="E5" s="9" t="s">
        <v>61</v>
      </c>
      <c r="F5" s="8" t="n">
        <v>4</v>
      </c>
      <c r="G5" s="8" t="n">
        <v>4</v>
      </c>
      <c r="H5" s="10" t="n">
        <f aca="false">F5*G5</f>
        <v>16</v>
      </c>
      <c r="I5" s="11" t="str">
        <f aca="false">IF(H5&gt;=Scale!$B$8,"Critical",IF(H5&gt;=Scale!$B$7,"High",IF(H5&gt;=Scale!$B$6,"Medium","Low")))</f>
        <v>Critical</v>
      </c>
      <c r="J5" s="9" t="s">
        <v>62</v>
      </c>
      <c r="K5" s="12" t="s">
        <v>63</v>
      </c>
      <c r="L5" s="9" t="s">
        <v>64</v>
      </c>
      <c r="M5" s="8" t="n">
        <v>1</v>
      </c>
      <c r="N5" s="8" t="n">
        <v>4</v>
      </c>
      <c r="O5" s="10" t="n">
        <f aca="false">M5*N5</f>
        <v>4</v>
      </c>
      <c r="P5" s="11" t="str">
        <f aca="false">IF(O5&gt;=Scale!$B$8,"Critical",IF(O5&gt;=Scale!$B$7,"High",IF(O5&gt;=Scale!$B$6,"Medium","Low")))</f>
        <v>Low</v>
      </c>
      <c r="Q5" s="13" t="n">
        <f aca="false">IF(H5=0,0,(H5-O5)/H5)</f>
        <v>0.75</v>
      </c>
      <c r="R5" s="12" t="s">
        <v>65</v>
      </c>
      <c r="S5" s="14" t="n">
        <v>46310</v>
      </c>
      <c r="T5" s="15" t="n">
        <f aca="false">IF(R5="Closed","",S5-Scale!$B$11)</f>
        <v>-15</v>
      </c>
      <c r="U5" s="11" t="str">
        <f aca="false">IF(AND(R5&lt;&gt;"Closed",S5&lt;Scale!$B$11),"OVERDUE","")</f>
        <v>OVERDUE</v>
      </c>
      <c r="V5" s="16" t="n">
        <f aca="false">H5+(1000-ROW())/100000</f>
        <v>16.00995</v>
      </c>
    </row>
    <row r="6" customFormat="false" ht="63.75" hidden="false" customHeight="true" outlineLevel="0" collapsed="false">
      <c r="A6" s="8" t="s">
        <v>66</v>
      </c>
      <c r="B6" s="9" t="s">
        <v>67</v>
      </c>
      <c r="C6" s="9" t="s">
        <v>59</v>
      </c>
      <c r="D6" s="9" t="s">
        <v>60</v>
      </c>
      <c r="E6" s="9" t="s">
        <v>68</v>
      </c>
      <c r="F6" s="8" t="n">
        <v>3</v>
      </c>
      <c r="G6" s="8" t="n">
        <v>3</v>
      </c>
      <c r="H6" s="10" t="n">
        <f aca="false">F6*G6</f>
        <v>9</v>
      </c>
      <c r="I6" s="11" t="str">
        <f aca="false">IF(H6&gt;=Scale!$B$8,"Critical",IF(H6&gt;=Scale!$B$7,"High",IF(H6&gt;=Scale!$B$6,"Medium","Low")))</f>
        <v>Medium</v>
      </c>
      <c r="J6" s="9" t="s">
        <v>69</v>
      </c>
      <c r="K6" s="12" t="s">
        <v>63</v>
      </c>
      <c r="L6" s="9" t="s">
        <v>70</v>
      </c>
      <c r="M6" s="8" t="n">
        <v>1</v>
      </c>
      <c r="N6" s="8" t="n">
        <v>3</v>
      </c>
      <c r="O6" s="10" t="n">
        <f aca="false">M6*N6</f>
        <v>3</v>
      </c>
      <c r="P6" s="11" t="str">
        <f aca="false">IF(O6&gt;=Scale!$B$8,"Critical",IF(O6&gt;=Scale!$B$7,"High",IF(O6&gt;=Scale!$B$6,"Medium","Low")))</f>
        <v>Low</v>
      </c>
      <c r="Q6" s="13" t="n">
        <f aca="false">IF(H6=0,0,(H6-O6)/H6)</f>
        <v>0.666666666666667</v>
      </c>
      <c r="R6" s="12" t="s">
        <v>65</v>
      </c>
      <c r="S6" s="14" t="n">
        <v>46356</v>
      </c>
      <c r="T6" s="15" t="n">
        <f aca="false">IF(R6="Closed","",S6-Scale!$B$11)</f>
        <v>31</v>
      </c>
      <c r="U6" s="11" t="str">
        <f aca="false">IF(AND(R6&lt;&gt;"Closed",S6&lt;Scale!$B$11),"OVERDUE","")</f>
        <v/>
      </c>
      <c r="V6" s="16" t="n">
        <f aca="false">H6+(1000-ROW())/100000</f>
        <v>9.00994</v>
      </c>
    </row>
    <row r="7" customFormat="false" ht="63.75" hidden="false" customHeight="true" outlineLevel="0" collapsed="false">
      <c r="A7" s="8" t="s">
        <v>71</v>
      </c>
      <c r="B7" s="9" t="s">
        <v>72</v>
      </c>
      <c r="C7" s="9" t="s">
        <v>73</v>
      </c>
      <c r="D7" s="9" t="s">
        <v>60</v>
      </c>
      <c r="E7" s="9" t="s">
        <v>74</v>
      </c>
      <c r="F7" s="8" t="n">
        <v>4</v>
      </c>
      <c r="G7" s="8" t="n">
        <v>4</v>
      </c>
      <c r="H7" s="10" t="n">
        <f aca="false">F7*G7</f>
        <v>16</v>
      </c>
      <c r="I7" s="11" t="str">
        <f aca="false">IF(H7&gt;=Scale!$B$8,"Critical",IF(H7&gt;=Scale!$B$7,"High",IF(H7&gt;=Scale!$B$6,"Medium","Low")))</f>
        <v>Critical</v>
      </c>
      <c r="J7" s="9" t="s">
        <v>75</v>
      </c>
      <c r="K7" s="12" t="s">
        <v>63</v>
      </c>
      <c r="L7" s="9" t="s">
        <v>76</v>
      </c>
      <c r="M7" s="8" t="n">
        <v>2</v>
      </c>
      <c r="N7" s="8" t="n">
        <v>4</v>
      </c>
      <c r="O7" s="10" t="n">
        <f aca="false">M7*N7</f>
        <v>8</v>
      </c>
      <c r="P7" s="11" t="str">
        <f aca="false">IF(O7&gt;=Scale!$B$8,"Critical",IF(O7&gt;=Scale!$B$7,"High",IF(O7&gt;=Scale!$B$6,"Medium","Low")))</f>
        <v>Medium</v>
      </c>
      <c r="Q7" s="13" t="n">
        <f aca="false">IF(H7=0,0,(H7-O7)/H7)</f>
        <v>0.5</v>
      </c>
      <c r="R7" s="12" t="s">
        <v>77</v>
      </c>
      <c r="S7" s="14" t="n">
        <v>46371</v>
      </c>
      <c r="T7" s="15" t="n">
        <f aca="false">IF(R7="Closed","",S7-Scale!$B$11)</f>
        <v>46</v>
      </c>
      <c r="U7" s="11" t="str">
        <f aca="false">IF(AND(R7&lt;&gt;"Closed",S7&lt;Scale!$B$11),"OVERDUE","")</f>
        <v/>
      </c>
      <c r="V7" s="16" t="n">
        <f aca="false">H7+(1000-ROW())/100000</f>
        <v>16.00993</v>
      </c>
    </row>
    <row r="8" customFormat="false" ht="63.75" hidden="false" customHeight="true" outlineLevel="0" collapsed="false">
      <c r="A8" s="8" t="s">
        <v>78</v>
      </c>
      <c r="B8" s="9" t="s">
        <v>79</v>
      </c>
      <c r="C8" s="9" t="s">
        <v>80</v>
      </c>
      <c r="D8" s="9" t="s">
        <v>60</v>
      </c>
      <c r="E8" s="9" t="s">
        <v>81</v>
      </c>
      <c r="F8" s="8" t="n">
        <v>3</v>
      </c>
      <c r="G8" s="8" t="n">
        <v>4</v>
      </c>
      <c r="H8" s="10" t="n">
        <f aca="false">F8*G8</f>
        <v>12</v>
      </c>
      <c r="I8" s="11" t="str">
        <f aca="false">IF(H8&gt;=Scale!$B$8,"Critical",IF(H8&gt;=Scale!$B$7,"High",IF(H8&gt;=Scale!$B$6,"Medium","Low")))</f>
        <v>High</v>
      </c>
      <c r="J8" s="9" t="s">
        <v>69</v>
      </c>
      <c r="K8" s="12" t="s">
        <v>63</v>
      </c>
      <c r="L8" s="9" t="s">
        <v>82</v>
      </c>
      <c r="M8" s="8" t="n">
        <v>1</v>
      </c>
      <c r="N8" s="8" t="n">
        <v>4</v>
      </c>
      <c r="O8" s="10" t="n">
        <f aca="false">M8*N8</f>
        <v>4</v>
      </c>
      <c r="P8" s="11" t="str">
        <f aca="false">IF(O8&gt;=Scale!$B$8,"Critical",IF(O8&gt;=Scale!$B$7,"High",IF(O8&gt;=Scale!$B$6,"Medium","Low")))</f>
        <v>Low</v>
      </c>
      <c r="Q8" s="13" t="n">
        <f aca="false">IF(H8=0,0,(H8-O8)/H8)</f>
        <v>0.666666666666667</v>
      </c>
      <c r="R8" s="12" t="s">
        <v>77</v>
      </c>
      <c r="S8" s="14" t="n">
        <v>46341</v>
      </c>
      <c r="T8" s="15" t="n">
        <f aca="false">IF(R8="Closed","",S8-Scale!$B$11)</f>
        <v>16</v>
      </c>
      <c r="U8" s="11" t="str">
        <f aca="false">IF(AND(R8&lt;&gt;"Closed",S8&lt;Scale!$B$11),"OVERDUE","")</f>
        <v/>
      </c>
      <c r="V8" s="16" t="n">
        <f aca="false">H8+(1000-ROW())/100000</f>
        <v>12.00992</v>
      </c>
    </row>
    <row r="9" customFormat="false" ht="63.75" hidden="false" customHeight="true" outlineLevel="0" collapsed="false">
      <c r="A9" s="8" t="s">
        <v>83</v>
      </c>
      <c r="B9" s="9" t="s">
        <v>84</v>
      </c>
      <c r="C9" s="9" t="s">
        <v>85</v>
      </c>
      <c r="D9" s="9" t="s">
        <v>86</v>
      </c>
      <c r="E9" s="9" t="s">
        <v>87</v>
      </c>
      <c r="F9" s="8" t="n">
        <v>4</v>
      </c>
      <c r="G9" s="8" t="n">
        <v>5</v>
      </c>
      <c r="H9" s="10" t="n">
        <f aca="false">F9*G9</f>
        <v>20</v>
      </c>
      <c r="I9" s="11" t="str">
        <f aca="false">IF(H9&gt;=Scale!$B$8,"Critical",IF(H9&gt;=Scale!$B$7,"High",IF(H9&gt;=Scale!$B$6,"Medium","Low")))</f>
        <v>Critical</v>
      </c>
      <c r="J9" s="9" t="s">
        <v>75</v>
      </c>
      <c r="K9" s="12" t="s">
        <v>63</v>
      </c>
      <c r="L9" s="9" t="s">
        <v>88</v>
      </c>
      <c r="M9" s="8" t="n">
        <v>1</v>
      </c>
      <c r="N9" s="8" t="n">
        <v>5</v>
      </c>
      <c r="O9" s="10" t="n">
        <f aca="false">M9*N9</f>
        <v>5</v>
      </c>
      <c r="P9" s="11" t="str">
        <f aca="false">IF(O9&gt;=Scale!$B$8,"Critical",IF(O9&gt;=Scale!$B$7,"High",IF(O9&gt;=Scale!$B$6,"Medium","Low")))</f>
        <v>Medium</v>
      </c>
      <c r="Q9" s="13" t="n">
        <f aca="false">IF(H9=0,0,(H9-O9)/H9)</f>
        <v>0.75</v>
      </c>
      <c r="R9" s="12" t="s">
        <v>77</v>
      </c>
      <c r="S9" s="14" t="n">
        <v>46387</v>
      </c>
      <c r="T9" s="15" t="n">
        <f aca="false">IF(R9="Closed","",S9-Scale!$B$11)</f>
        <v>62</v>
      </c>
      <c r="U9" s="11" t="str">
        <f aca="false">IF(AND(R9&lt;&gt;"Closed",S9&lt;Scale!$B$11),"OVERDUE","")</f>
        <v/>
      </c>
      <c r="V9" s="16" t="n">
        <f aca="false">H9+(1000-ROW())/100000</f>
        <v>20.00991</v>
      </c>
    </row>
    <row r="10" customFormat="false" ht="63.75" hidden="false" customHeight="true" outlineLevel="0" collapsed="false">
      <c r="A10" s="8" t="s">
        <v>89</v>
      </c>
      <c r="B10" s="9" t="s">
        <v>90</v>
      </c>
      <c r="C10" s="9" t="s">
        <v>85</v>
      </c>
      <c r="D10" s="9" t="s">
        <v>86</v>
      </c>
      <c r="E10" s="9" t="s">
        <v>91</v>
      </c>
      <c r="F10" s="8" t="n">
        <v>5</v>
      </c>
      <c r="G10" s="8" t="n">
        <v>3</v>
      </c>
      <c r="H10" s="10" t="n">
        <f aca="false">F10*G10</f>
        <v>15</v>
      </c>
      <c r="I10" s="11" t="str">
        <f aca="false">IF(H10&gt;=Scale!$B$8,"Critical",IF(H10&gt;=Scale!$B$7,"High",IF(H10&gt;=Scale!$B$6,"Medium","Low")))</f>
        <v>Critical</v>
      </c>
      <c r="J10" s="9" t="s">
        <v>75</v>
      </c>
      <c r="K10" s="12" t="s">
        <v>63</v>
      </c>
      <c r="L10" s="9" t="s">
        <v>92</v>
      </c>
      <c r="M10" s="8" t="n">
        <v>1</v>
      </c>
      <c r="N10" s="8" t="n">
        <v>3</v>
      </c>
      <c r="O10" s="10" t="n">
        <f aca="false">M10*N10</f>
        <v>3</v>
      </c>
      <c r="P10" s="11" t="str">
        <f aca="false">IF(O10&gt;=Scale!$B$8,"Critical",IF(O10&gt;=Scale!$B$7,"High",IF(O10&gt;=Scale!$B$6,"Medium","Low")))</f>
        <v>Low</v>
      </c>
      <c r="Q10" s="13" t="n">
        <f aca="false">IF(H10=0,0,(H10-O10)/H10)</f>
        <v>0.8</v>
      </c>
      <c r="R10" s="12" t="s">
        <v>77</v>
      </c>
      <c r="S10" s="14" t="n">
        <v>46387</v>
      </c>
      <c r="T10" s="15" t="n">
        <f aca="false">IF(R10="Closed","",S10-Scale!$B$11)</f>
        <v>62</v>
      </c>
      <c r="U10" s="11" t="str">
        <f aca="false">IF(AND(R10&lt;&gt;"Closed",S10&lt;Scale!$B$11),"OVERDUE","")</f>
        <v/>
      </c>
      <c r="V10" s="16" t="n">
        <f aca="false">H10+(1000-ROW())/100000</f>
        <v>15.0099</v>
      </c>
    </row>
    <row r="11" customFormat="false" ht="63.75" hidden="false" customHeight="true" outlineLevel="0" collapsed="false">
      <c r="A11" s="8" t="s">
        <v>93</v>
      </c>
      <c r="B11" s="9" t="s">
        <v>94</v>
      </c>
      <c r="C11" s="9" t="s">
        <v>95</v>
      </c>
      <c r="D11" s="9" t="s">
        <v>86</v>
      </c>
      <c r="E11" s="9" t="s">
        <v>96</v>
      </c>
      <c r="F11" s="8" t="n">
        <v>2</v>
      </c>
      <c r="G11" s="8" t="n">
        <v>3</v>
      </c>
      <c r="H11" s="10" t="n">
        <f aca="false">F11*G11</f>
        <v>6</v>
      </c>
      <c r="I11" s="11" t="str">
        <f aca="false">IF(H11&gt;=Scale!$B$8,"Critical",IF(H11&gt;=Scale!$B$7,"High",IF(H11&gt;=Scale!$B$6,"Medium","Low")))</f>
        <v>Medium</v>
      </c>
      <c r="J11" s="9" t="s">
        <v>62</v>
      </c>
      <c r="K11" s="12" t="s">
        <v>63</v>
      </c>
      <c r="L11" s="9" t="s">
        <v>97</v>
      </c>
      <c r="M11" s="8" t="n">
        <v>1</v>
      </c>
      <c r="N11" s="8" t="n">
        <v>3</v>
      </c>
      <c r="O11" s="10" t="n">
        <f aca="false">M11*N11</f>
        <v>3</v>
      </c>
      <c r="P11" s="11" t="str">
        <f aca="false">IF(O11&gt;=Scale!$B$8,"Critical",IF(O11&gt;=Scale!$B$7,"High",IF(O11&gt;=Scale!$B$6,"Medium","Low")))</f>
        <v>Low</v>
      </c>
      <c r="Q11" s="13" t="n">
        <f aca="false">IF(H11=0,0,(H11-O11)/H11)</f>
        <v>0.5</v>
      </c>
      <c r="R11" s="12" t="s">
        <v>77</v>
      </c>
      <c r="S11" s="14" t="n">
        <v>46418</v>
      </c>
      <c r="T11" s="15" t="n">
        <f aca="false">IF(R11="Closed","",S11-Scale!$B$11)</f>
        <v>93</v>
      </c>
      <c r="U11" s="11" t="str">
        <f aca="false">IF(AND(R11&lt;&gt;"Closed",S11&lt;Scale!$B$11),"OVERDUE","")</f>
        <v/>
      </c>
      <c r="V11" s="16" t="n">
        <f aca="false">H11+(1000-ROW())/100000</f>
        <v>6.00989</v>
      </c>
    </row>
    <row r="12" customFormat="false" ht="63.75" hidden="false" customHeight="true" outlineLevel="0" collapsed="false">
      <c r="A12" s="8" t="s">
        <v>98</v>
      </c>
      <c r="B12" s="9" t="s">
        <v>99</v>
      </c>
      <c r="C12" s="9" t="s">
        <v>95</v>
      </c>
      <c r="D12" s="9" t="s">
        <v>86</v>
      </c>
      <c r="E12" s="9" t="s">
        <v>100</v>
      </c>
      <c r="F12" s="8" t="n">
        <v>3</v>
      </c>
      <c r="G12" s="8" t="n">
        <v>3</v>
      </c>
      <c r="H12" s="10" t="n">
        <f aca="false">F12*G12</f>
        <v>9</v>
      </c>
      <c r="I12" s="11" t="str">
        <f aca="false">IF(H12&gt;=Scale!$B$8,"Critical",IF(H12&gt;=Scale!$B$7,"High",IF(H12&gt;=Scale!$B$6,"Medium","Low")))</f>
        <v>Medium</v>
      </c>
      <c r="J12" s="9" t="s">
        <v>75</v>
      </c>
      <c r="K12" s="12" t="s">
        <v>63</v>
      </c>
      <c r="L12" s="9" t="s">
        <v>101</v>
      </c>
      <c r="M12" s="8" t="n">
        <v>1</v>
      </c>
      <c r="N12" s="8" t="n">
        <v>3</v>
      </c>
      <c r="O12" s="10" t="n">
        <f aca="false">M12*N12</f>
        <v>3</v>
      </c>
      <c r="P12" s="11" t="str">
        <f aca="false">IF(O12&gt;=Scale!$B$8,"Critical",IF(O12&gt;=Scale!$B$7,"High",IF(O12&gt;=Scale!$B$6,"Medium","Low")))</f>
        <v>Low</v>
      </c>
      <c r="Q12" s="13" t="n">
        <f aca="false">IF(H12=0,0,(H12-O12)/H12)</f>
        <v>0.666666666666667</v>
      </c>
      <c r="R12" s="12" t="s">
        <v>77</v>
      </c>
      <c r="S12" s="14" t="n">
        <v>46371</v>
      </c>
      <c r="T12" s="15" t="n">
        <f aca="false">IF(R12="Closed","",S12-Scale!$B$11)</f>
        <v>46</v>
      </c>
      <c r="U12" s="11" t="str">
        <f aca="false">IF(AND(R12&lt;&gt;"Closed",S12&lt;Scale!$B$11),"OVERDUE","")</f>
        <v/>
      </c>
      <c r="V12" s="16" t="n">
        <f aca="false">H12+(1000-ROW())/100000</f>
        <v>9.00988</v>
      </c>
    </row>
    <row r="13" customFormat="false" ht="63.75" hidden="false" customHeight="true" outlineLevel="0" collapsed="false">
      <c r="A13" s="8" t="s">
        <v>102</v>
      </c>
      <c r="B13" s="9" t="s">
        <v>103</v>
      </c>
      <c r="C13" s="9" t="s">
        <v>104</v>
      </c>
      <c r="D13" s="9" t="s">
        <v>105</v>
      </c>
      <c r="E13" s="9" t="s">
        <v>106</v>
      </c>
      <c r="F13" s="8" t="n">
        <v>4</v>
      </c>
      <c r="G13" s="8" t="n">
        <v>5</v>
      </c>
      <c r="H13" s="10" t="n">
        <f aca="false">F13*G13</f>
        <v>20</v>
      </c>
      <c r="I13" s="11" t="str">
        <f aca="false">IF(H13&gt;=Scale!$B$8,"Critical",IF(H13&gt;=Scale!$B$7,"High",IF(H13&gt;=Scale!$B$6,"Medium","Low")))</f>
        <v>Critical</v>
      </c>
      <c r="J13" s="9" t="s">
        <v>75</v>
      </c>
      <c r="K13" s="12" t="s">
        <v>63</v>
      </c>
      <c r="L13" s="9" t="s">
        <v>107</v>
      </c>
      <c r="M13" s="8" t="n">
        <v>2</v>
      </c>
      <c r="N13" s="8" t="n">
        <v>5</v>
      </c>
      <c r="O13" s="10" t="n">
        <f aca="false">M13*N13</f>
        <v>10</v>
      </c>
      <c r="P13" s="11" t="str">
        <f aca="false">IF(O13&gt;=Scale!$B$8,"Critical",IF(O13&gt;=Scale!$B$7,"High",IF(O13&gt;=Scale!$B$6,"Medium","Low")))</f>
        <v>High</v>
      </c>
      <c r="Q13" s="13" t="n">
        <f aca="false">IF(H13=0,0,(H13-O13)/H13)</f>
        <v>0.5</v>
      </c>
      <c r="R13" s="12" t="s">
        <v>65</v>
      </c>
      <c r="S13" s="14" t="n">
        <v>46346</v>
      </c>
      <c r="T13" s="15" t="n">
        <f aca="false">IF(R13="Closed","",S13-Scale!$B$11)</f>
        <v>21</v>
      </c>
      <c r="U13" s="11" t="str">
        <f aca="false">IF(AND(R13&lt;&gt;"Closed",S13&lt;Scale!$B$11),"OVERDUE","")</f>
        <v/>
      </c>
      <c r="V13" s="16" t="n">
        <f aca="false">H13+(1000-ROW())/100000</f>
        <v>20.00987</v>
      </c>
    </row>
    <row r="14" customFormat="false" ht="63.75" hidden="false" customHeight="true" outlineLevel="0" collapsed="false">
      <c r="A14" s="8" t="s">
        <v>108</v>
      </c>
      <c r="B14" s="9" t="s">
        <v>109</v>
      </c>
      <c r="C14" s="9" t="s">
        <v>59</v>
      </c>
      <c r="D14" s="9" t="s">
        <v>105</v>
      </c>
      <c r="E14" s="9" t="s">
        <v>110</v>
      </c>
      <c r="F14" s="8" t="n">
        <v>3</v>
      </c>
      <c r="G14" s="8" t="n">
        <v>5</v>
      </c>
      <c r="H14" s="10" t="n">
        <f aca="false">F14*G14</f>
        <v>15</v>
      </c>
      <c r="I14" s="11" t="str">
        <f aca="false">IF(H14&gt;=Scale!$B$8,"Critical",IF(H14&gt;=Scale!$B$7,"High",IF(H14&gt;=Scale!$B$6,"Medium","Low")))</f>
        <v>Critical</v>
      </c>
      <c r="J14" s="9" t="s">
        <v>62</v>
      </c>
      <c r="K14" s="12" t="s">
        <v>63</v>
      </c>
      <c r="L14" s="9" t="s">
        <v>111</v>
      </c>
      <c r="M14" s="8" t="n">
        <v>1</v>
      </c>
      <c r="N14" s="8" t="n">
        <v>5</v>
      </c>
      <c r="O14" s="10" t="n">
        <f aca="false">M14*N14</f>
        <v>5</v>
      </c>
      <c r="P14" s="11" t="str">
        <f aca="false">IF(O14&gt;=Scale!$B$8,"Critical",IF(O14&gt;=Scale!$B$7,"High",IF(O14&gt;=Scale!$B$6,"Medium","Low")))</f>
        <v>Medium</v>
      </c>
      <c r="Q14" s="13" t="n">
        <f aca="false">IF(H14=0,0,(H14-O14)/H14)</f>
        <v>0.666666666666667</v>
      </c>
      <c r="R14" s="12" t="s">
        <v>77</v>
      </c>
      <c r="S14" s="14" t="n">
        <v>46357</v>
      </c>
      <c r="T14" s="15" t="n">
        <f aca="false">IF(R14="Closed","",S14-Scale!$B$11)</f>
        <v>32</v>
      </c>
      <c r="U14" s="11" t="str">
        <f aca="false">IF(AND(R14&lt;&gt;"Closed",S14&lt;Scale!$B$11),"OVERDUE","")</f>
        <v/>
      </c>
      <c r="V14" s="16" t="n">
        <f aca="false">H14+(1000-ROW())/100000</f>
        <v>15.00986</v>
      </c>
    </row>
    <row r="15" customFormat="false" ht="63.75" hidden="false" customHeight="true" outlineLevel="0" collapsed="false">
      <c r="A15" s="8" t="s">
        <v>112</v>
      </c>
      <c r="B15" s="9" t="s">
        <v>113</v>
      </c>
      <c r="C15" s="9" t="s">
        <v>114</v>
      </c>
      <c r="D15" s="9" t="s">
        <v>105</v>
      </c>
      <c r="E15" s="9" t="s">
        <v>115</v>
      </c>
      <c r="F15" s="8" t="n">
        <v>3</v>
      </c>
      <c r="G15" s="8" t="n">
        <v>5</v>
      </c>
      <c r="H15" s="10" t="n">
        <f aca="false">F15*G15</f>
        <v>15</v>
      </c>
      <c r="I15" s="11" t="str">
        <f aca="false">IF(H15&gt;=Scale!$B$8,"Critical",IF(H15&gt;=Scale!$B$7,"High",IF(H15&gt;=Scale!$B$6,"Medium","Low")))</f>
        <v>Critical</v>
      </c>
      <c r="J15" s="9" t="s">
        <v>62</v>
      </c>
      <c r="K15" s="12" t="s">
        <v>63</v>
      </c>
      <c r="L15" s="9" t="s">
        <v>116</v>
      </c>
      <c r="M15" s="8" t="n">
        <v>2</v>
      </c>
      <c r="N15" s="8" t="n">
        <v>5</v>
      </c>
      <c r="O15" s="10" t="n">
        <f aca="false">M15*N15</f>
        <v>10</v>
      </c>
      <c r="P15" s="11" t="str">
        <f aca="false">IF(O15&gt;=Scale!$B$8,"Critical",IF(O15&gt;=Scale!$B$7,"High",IF(O15&gt;=Scale!$B$6,"Medium","Low")))</f>
        <v>High</v>
      </c>
      <c r="Q15" s="13" t="n">
        <f aca="false">IF(H15=0,0,(H15-O15)/H15)</f>
        <v>0.333333333333333</v>
      </c>
      <c r="R15" s="12" t="s">
        <v>77</v>
      </c>
      <c r="S15" s="14" t="n">
        <v>46402</v>
      </c>
      <c r="T15" s="15" t="n">
        <f aca="false">IF(R15="Closed","",S15-Scale!$B$11)</f>
        <v>77</v>
      </c>
      <c r="U15" s="11" t="str">
        <f aca="false">IF(AND(R15&lt;&gt;"Closed",S15&lt;Scale!$B$11),"OVERDUE","")</f>
        <v/>
      </c>
      <c r="V15" s="16" t="n">
        <f aca="false">H15+(1000-ROW())/100000</f>
        <v>15.00985</v>
      </c>
    </row>
    <row r="16" customFormat="false" ht="63.75" hidden="false" customHeight="true" outlineLevel="0" collapsed="false">
      <c r="A16" s="8" t="s">
        <v>117</v>
      </c>
      <c r="B16" s="9" t="s">
        <v>118</v>
      </c>
      <c r="C16" s="9" t="s">
        <v>59</v>
      </c>
      <c r="D16" s="9" t="s">
        <v>105</v>
      </c>
      <c r="E16" s="9" t="s">
        <v>119</v>
      </c>
      <c r="F16" s="8" t="n">
        <v>4</v>
      </c>
      <c r="G16" s="8" t="n">
        <v>3</v>
      </c>
      <c r="H16" s="10" t="n">
        <f aca="false">F16*G16</f>
        <v>12</v>
      </c>
      <c r="I16" s="11" t="str">
        <f aca="false">IF(H16&gt;=Scale!$B$8,"Critical",IF(H16&gt;=Scale!$B$7,"High",IF(H16&gt;=Scale!$B$6,"Medium","Low")))</f>
        <v>High</v>
      </c>
      <c r="J16" s="9" t="s">
        <v>75</v>
      </c>
      <c r="K16" s="12" t="s">
        <v>63</v>
      </c>
      <c r="L16" s="9" t="s">
        <v>120</v>
      </c>
      <c r="M16" s="8" t="n">
        <v>1</v>
      </c>
      <c r="N16" s="8" t="n">
        <v>3</v>
      </c>
      <c r="O16" s="10" t="n">
        <f aca="false">M16*N16</f>
        <v>3</v>
      </c>
      <c r="P16" s="11" t="str">
        <f aca="false">IF(O16&gt;=Scale!$B$8,"Critical",IF(O16&gt;=Scale!$B$7,"High",IF(O16&gt;=Scale!$B$6,"Medium","Low")))</f>
        <v>Low</v>
      </c>
      <c r="Q16" s="13" t="n">
        <f aca="false">IF(H16=0,0,(H16-O16)/H16)</f>
        <v>0.75</v>
      </c>
      <c r="R16" s="12" t="s">
        <v>77</v>
      </c>
      <c r="S16" s="14" t="n">
        <v>46356</v>
      </c>
      <c r="T16" s="15" t="n">
        <f aca="false">IF(R16="Closed","",S16-Scale!$B$11)</f>
        <v>31</v>
      </c>
      <c r="U16" s="11" t="str">
        <f aca="false">IF(AND(R16&lt;&gt;"Closed",S16&lt;Scale!$B$11),"OVERDUE","")</f>
        <v/>
      </c>
      <c r="V16" s="16" t="n">
        <f aca="false">H16+(1000-ROW())/100000</f>
        <v>12.00984</v>
      </c>
    </row>
    <row r="17" customFormat="false" ht="63.75" hidden="false" customHeight="true" outlineLevel="0" collapsed="false">
      <c r="A17" s="8" t="s">
        <v>121</v>
      </c>
      <c r="B17" s="9" t="s">
        <v>122</v>
      </c>
      <c r="C17" s="9" t="s">
        <v>123</v>
      </c>
      <c r="D17" s="9" t="s">
        <v>105</v>
      </c>
      <c r="E17" s="9" t="s">
        <v>124</v>
      </c>
      <c r="F17" s="8" t="n">
        <v>2</v>
      </c>
      <c r="G17" s="8" t="n">
        <v>5</v>
      </c>
      <c r="H17" s="10" t="n">
        <f aca="false">F17*G17</f>
        <v>10</v>
      </c>
      <c r="I17" s="11" t="str">
        <f aca="false">IF(H17&gt;=Scale!$B$8,"Critical",IF(H17&gt;=Scale!$B$7,"High",IF(H17&gt;=Scale!$B$6,"Medium","Low")))</f>
        <v>High</v>
      </c>
      <c r="J17" s="9" t="s">
        <v>75</v>
      </c>
      <c r="K17" s="12" t="s">
        <v>63</v>
      </c>
      <c r="L17" s="9" t="s">
        <v>125</v>
      </c>
      <c r="M17" s="8" t="n">
        <v>1</v>
      </c>
      <c r="N17" s="8" t="n">
        <v>5</v>
      </c>
      <c r="O17" s="10" t="n">
        <f aca="false">M17*N17</f>
        <v>5</v>
      </c>
      <c r="P17" s="11" t="str">
        <f aca="false">IF(O17&gt;=Scale!$B$8,"Critical",IF(O17&gt;=Scale!$B$7,"High",IF(O17&gt;=Scale!$B$6,"Medium","Low")))</f>
        <v>Medium</v>
      </c>
      <c r="Q17" s="13" t="n">
        <f aca="false">IF(H17=0,0,(H17-O17)/H17)</f>
        <v>0.5</v>
      </c>
      <c r="R17" s="12" t="s">
        <v>126</v>
      </c>
      <c r="S17" s="14" t="n">
        <v>46296</v>
      </c>
      <c r="T17" s="15" t="str">
        <f aca="false">IF(R17="Closed","",S17-Scale!$B$11)</f>
        <v/>
      </c>
      <c r="U17" s="11" t="str">
        <f aca="false">IF(AND(R17&lt;&gt;"Closed",S17&lt;Scale!$B$11),"OVERDUE","")</f>
        <v/>
      </c>
      <c r="V17" s="16" t="n">
        <f aca="false">H17+(1000-ROW())/100000</f>
        <v>10.00983</v>
      </c>
    </row>
    <row r="18" customFormat="false" ht="63.75" hidden="false" customHeight="true" outlineLevel="0" collapsed="false">
      <c r="A18" s="8" t="s">
        <v>127</v>
      </c>
      <c r="B18" s="9" t="s">
        <v>128</v>
      </c>
      <c r="C18" s="9" t="s">
        <v>95</v>
      </c>
      <c r="D18" s="9" t="s">
        <v>105</v>
      </c>
      <c r="E18" s="9" t="s">
        <v>129</v>
      </c>
      <c r="F18" s="8" t="n">
        <v>3</v>
      </c>
      <c r="G18" s="8" t="n">
        <v>4</v>
      </c>
      <c r="H18" s="10" t="n">
        <f aca="false">F18*G18</f>
        <v>12</v>
      </c>
      <c r="I18" s="11" t="str">
        <f aca="false">IF(H18&gt;=Scale!$B$8,"Critical",IF(H18&gt;=Scale!$B$7,"High",IF(H18&gt;=Scale!$B$6,"Medium","Low")))</f>
        <v>High</v>
      </c>
      <c r="J18" s="9" t="s">
        <v>69</v>
      </c>
      <c r="K18" s="12" t="s">
        <v>63</v>
      </c>
      <c r="L18" s="9" t="s">
        <v>130</v>
      </c>
      <c r="M18" s="8" t="n">
        <v>1</v>
      </c>
      <c r="N18" s="8" t="n">
        <v>4</v>
      </c>
      <c r="O18" s="10" t="n">
        <f aca="false">M18*N18</f>
        <v>4</v>
      </c>
      <c r="P18" s="11" t="str">
        <f aca="false">IF(O18&gt;=Scale!$B$8,"Critical",IF(O18&gt;=Scale!$B$7,"High",IF(O18&gt;=Scale!$B$6,"Medium","Low")))</f>
        <v>Low</v>
      </c>
      <c r="Q18" s="13" t="n">
        <f aca="false">IF(H18=0,0,(H18-O18)/H18)</f>
        <v>0.666666666666667</v>
      </c>
      <c r="R18" s="12" t="s">
        <v>77</v>
      </c>
      <c r="S18" s="14" t="n">
        <v>46366</v>
      </c>
      <c r="T18" s="15" t="n">
        <f aca="false">IF(R18="Closed","",S18-Scale!$B$11)</f>
        <v>41</v>
      </c>
      <c r="U18" s="11" t="str">
        <f aca="false">IF(AND(R18&lt;&gt;"Closed",S18&lt;Scale!$B$11),"OVERDUE","")</f>
        <v/>
      </c>
      <c r="V18" s="16" t="n">
        <f aca="false">H18+(1000-ROW())/100000</f>
        <v>12.00982</v>
      </c>
    </row>
    <row r="19" customFormat="false" ht="63.75" hidden="false" customHeight="true" outlineLevel="0" collapsed="false">
      <c r="A19" s="8" t="s">
        <v>131</v>
      </c>
      <c r="B19" s="9" t="s">
        <v>132</v>
      </c>
      <c r="C19" s="9" t="s">
        <v>133</v>
      </c>
      <c r="D19" s="9" t="s">
        <v>105</v>
      </c>
      <c r="E19" s="9" t="s">
        <v>134</v>
      </c>
      <c r="F19" s="8" t="n">
        <v>3</v>
      </c>
      <c r="G19" s="8" t="n">
        <v>3</v>
      </c>
      <c r="H19" s="10" t="n">
        <f aca="false">F19*G19</f>
        <v>9</v>
      </c>
      <c r="I19" s="11" t="str">
        <f aca="false">IF(H19&gt;=Scale!$B$8,"Critical",IF(H19&gt;=Scale!$B$7,"High",IF(H19&gt;=Scale!$B$6,"Medium","Low")))</f>
        <v>Medium</v>
      </c>
      <c r="J19" s="9" t="s">
        <v>135</v>
      </c>
      <c r="K19" s="12" t="s">
        <v>63</v>
      </c>
      <c r="L19" s="9" t="s">
        <v>136</v>
      </c>
      <c r="M19" s="8" t="n">
        <v>2</v>
      </c>
      <c r="N19" s="8" t="n">
        <v>3</v>
      </c>
      <c r="O19" s="10" t="n">
        <f aca="false">M19*N19</f>
        <v>6</v>
      </c>
      <c r="P19" s="11" t="str">
        <f aca="false">IF(O19&gt;=Scale!$B$8,"Critical",IF(O19&gt;=Scale!$B$7,"High",IF(O19&gt;=Scale!$B$6,"Medium","Low")))</f>
        <v>Medium</v>
      </c>
      <c r="Q19" s="13" t="n">
        <f aca="false">IF(H19=0,0,(H19-O19)/H19)</f>
        <v>0.333333333333333</v>
      </c>
      <c r="R19" s="12" t="s">
        <v>77</v>
      </c>
      <c r="S19" s="14" t="n">
        <v>46419</v>
      </c>
      <c r="T19" s="15" t="n">
        <f aca="false">IF(R19="Closed","",S19-Scale!$B$11)</f>
        <v>94</v>
      </c>
      <c r="U19" s="11" t="str">
        <f aca="false">IF(AND(R19&lt;&gt;"Closed",S19&lt;Scale!$B$11),"OVERDUE","")</f>
        <v/>
      </c>
      <c r="V19" s="16" t="n">
        <f aca="false">H19+(1000-ROW())/100000</f>
        <v>9.00981</v>
      </c>
    </row>
  </sheetData>
  <autoFilter ref="A4:V19"/>
  <conditionalFormatting sqref="I5:I54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P5:P54">
    <cfRule type="cellIs" priority="6" operator="equal" aboveAverage="0" equalAverage="0" bottom="0" percent="0" rank="0" text="" dxfId="11">
      <formula>"Critical"</formula>
    </cfRule>
    <cfRule type="cellIs" priority="7" operator="equal" aboveAverage="0" equalAverage="0" bottom="0" percent="0" rank="0" text="" dxfId="12">
      <formula>"High"</formula>
    </cfRule>
    <cfRule type="cellIs" priority="8" operator="equal" aboveAverage="0" equalAverage="0" bottom="0" percent="0" rank="0" text="" dxfId="13">
      <formula>"Medium"</formula>
    </cfRule>
    <cfRule type="cellIs" priority="9" operator="equal" aboveAverage="0" equalAverage="0" bottom="0" percent="0" rank="0" text="" dxfId="14">
      <formula>"Low"</formula>
    </cfRule>
  </conditionalFormatting>
  <conditionalFormatting sqref="U5:U54">
    <cfRule type="cellIs" priority="10" operator="equal" aboveAverage="0" equalAverage="0" bottom="0" percent="0" rank="0" text="" dxfId="15">
      <formula>"OVERDUE"</formula>
    </cfRule>
  </conditionalFormatting>
  <dataValidations count="3">
    <dataValidation allowBlank="true" error="Enter a whole number from 1 to 5." errorStyle="stop" errorTitle="Score" operator="between" showDropDown="false" showErrorMessage="true" showInputMessage="false" sqref="F5:G54 M5:N54" type="whole">
      <formula1>1</formula1>
      <formula2>5</formula2>
    </dataValidation>
    <dataValidation allowBlank="true" errorStyle="stop" operator="between" showDropDown="false" showErrorMessage="false" showInputMessage="false" sqref="R5:R54" type="list">
      <formula1>"Open,In Progress,Closed"</formula1>
      <formula2>0</formula2>
    </dataValidation>
    <dataValidation allowBlank="true" errorStyle="stop" operator="between" showDropDown="false" showErrorMessage="false" showInputMessage="false" sqref="K5:K54" type="list">
      <formula1>"Mitigate,Accept,Transfer,Avoid"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3" t="s">
        <v>139</v>
      </c>
    </row>
    <row r="5" customFormat="false" ht="15" hidden="false" customHeight="false" outlineLevel="0" collapsed="false">
      <c r="C5" s="17" t="s">
        <v>140</v>
      </c>
      <c r="D5" s="17"/>
      <c r="E5" s="17"/>
      <c r="F5" s="17"/>
      <c r="G5" s="17"/>
    </row>
    <row r="6" customFormat="false" ht="15" hidden="false" customHeight="false" outlineLevel="0" collapsed="false">
      <c r="C6" s="18" t="n">
        <v>1</v>
      </c>
      <c r="D6" s="18" t="n">
        <v>2</v>
      </c>
      <c r="E6" s="18" t="n">
        <v>3</v>
      </c>
      <c r="F6" s="18" t="n">
        <v>4</v>
      </c>
      <c r="G6" s="18" t="n">
        <v>5</v>
      </c>
    </row>
    <row r="7" customFormat="false" ht="39.75" hidden="false" customHeight="true" outlineLevel="0" collapsed="false">
      <c r="A7" s="19" t="s">
        <v>141</v>
      </c>
      <c r="B7" s="20" t="n">
        <v>5</v>
      </c>
      <c r="C7" s="21" t="n">
        <f aca="false">COUNTIFS(Register!$F$5:$F$54,C$6,Register!$G$5:$G$54,$B7)</f>
        <v>0</v>
      </c>
      <c r="D7" s="21" t="n">
        <f aca="false">COUNTIFS(Register!$F$5:$F$54,D$6,Register!$G$5:$G$54,$B7)</f>
        <v>1</v>
      </c>
      <c r="E7" s="21" t="n">
        <f aca="false">COUNTIFS(Register!$F$5:$F$54,E$6,Register!$G$5:$G$54,$B7)</f>
        <v>2</v>
      </c>
      <c r="F7" s="21" t="n">
        <f aca="false">COUNTIFS(Register!$F$5:$F$54,F$6,Register!$G$5:$G$54,$B7)</f>
        <v>2</v>
      </c>
      <c r="G7" s="21" t="n">
        <f aca="false">COUNTIFS(Register!$F$5:$F$54,G$6,Register!$G$5:$G$54,$B7)</f>
        <v>0</v>
      </c>
    </row>
    <row r="8" customFormat="false" ht="39.75" hidden="false" customHeight="true" outlineLevel="0" collapsed="false">
      <c r="B8" s="20" t="n">
        <v>4</v>
      </c>
      <c r="C8" s="21" t="n">
        <f aca="false">COUNTIFS(Register!$F$5:$F$54,C$6,Register!$G$5:$G$54,$B8)</f>
        <v>0</v>
      </c>
      <c r="D8" s="21" t="n">
        <f aca="false">COUNTIFS(Register!$F$5:$F$54,D$6,Register!$G$5:$G$54,$B8)</f>
        <v>0</v>
      </c>
      <c r="E8" s="21" t="n">
        <f aca="false">COUNTIFS(Register!$F$5:$F$54,E$6,Register!$G$5:$G$54,$B8)</f>
        <v>2</v>
      </c>
      <c r="F8" s="21" t="n">
        <f aca="false">COUNTIFS(Register!$F$5:$F$54,F$6,Register!$G$5:$G$54,$B8)</f>
        <v>2</v>
      </c>
      <c r="G8" s="21" t="n">
        <f aca="false">COUNTIFS(Register!$F$5:$F$54,G$6,Register!$G$5:$G$54,$B8)</f>
        <v>0</v>
      </c>
    </row>
    <row r="9" customFormat="false" ht="39.75" hidden="false" customHeight="true" outlineLevel="0" collapsed="false">
      <c r="B9" s="20" t="n">
        <v>3</v>
      </c>
      <c r="C9" s="21" t="n">
        <f aca="false">COUNTIFS(Register!$F$5:$F$54,C$6,Register!$G$5:$G$54,$B9)</f>
        <v>0</v>
      </c>
      <c r="D9" s="21" t="n">
        <f aca="false">COUNTIFS(Register!$F$5:$F$54,D$6,Register!$G$5:$G$54,$B9)</f>
        <v>1</v>
      </c>
      <c r="E9" s="21" t="n">
        <f aca="false">COUNTIFS(Register!$F$5:$F$54,E$6,Register!$G$5:$G$54,$B9)</f>
        <v>3</v>
      </c>
      <c r="F9" s="21" t="n">
        <f aca="false">COUNTIFS(Register!$F$5:$F$54,F$6,Register!$G$5:$G$54,$B9)</f>
        <v>1</v>
      </c>
      <c r="G9" s="21" t="n">
        <f aca="false">COUNTIFS(Register!$F$5:$F$54,G$6,Register!$G$5:$G$54,$B9)</f>
        <v>1</v>
      </c>
    </row>
    <row r="10" customFormat="false" ht="39.75" hidden="false" customHeight="true" outlineLevel="0" collapsed="false">
      <c r="B10" s="20" t="n">
        <v>2</v>
      </c>
      <c r="C10" s="21" t="n">
        <f aca="false">COUNTIFS(Register!$F$5:$F$54,C$6,Register!$G$5:$G$54,$B10)</f>
        <v>0</v>
      </c>
      <c r="D10" s="21" t="n">
        <f aca="false">COUNTIFS(Register!$F$5:$F$54,D$6,Register!$G$5:$G$54,$B10)</f>
        <v>0</v>
      </c>
      <c r="E10" s="21" t="n">
        <f aca="false">COUNTIFS(Register!$F$5:$F$54,E$6,Register!$G$5:$G$54,$B10)</f>
        <v>0</v>
      </c>
      <c r="F10" s="21" t="n">
        <f aca="false">COUNTIFS(Register!$F$5:$F$54,F$6,Register!$G$5:$G$54,$B10)</f>
        <v>0</v>
      </c>
      <c r="G10" s="21" t="n">
        <f aca="false">COUNTIFS(Register!$F$5:$F$54,G$6,Register!$G$5:$G$54,$B10)</f>
        <v>0</v>
      </c>
    </row>
    <row r="11" customFormat="false" ht="39.75" hidden="false" customHeight="true" outlineLevel="0" collapsed="false">
      <c r="B11" s="20" t="n">
        <v>1</v>
      </c>
      <c r="C11" s="21" t="n">
        <f aca="false">COUNTIFS(Register!$F$5:$F$54,C$6,Register!$G$5:$G$54,$B11)</f>
        <v>0</v>
      </c>
      <c r="D11" s="21" t="n">
        <f aca="false">COUNTIFS(Register!$F$5:$F$54,D$6,Register!$G$5:$G$54,$B11)</f>
        <v>0</v>
      </c>
      <c r="E11" s="21" t="n">
        <f aca="false">COUNTIFS(Register!$F$5:$F$54,E$6,Register!$G$5:$G$54,$B11)</f>
        <v>0</v>
      </c>
      <c r="F11" s="21" t="n">
        <f aca="false">COUNTIFS(Register!$F$5:$F$54,F$6,Register!$G$5:$G$54,$B11)</f>
        <v>0</v>
      </c>
      <c r="G11" s="21" t="n">
        <f aca="false">COUNTIFS(Register!$F$5:$F$54,G$6,Register!$G$5:$G$54,$B11)</f>
        <v>0</v>
      </c>
    </row>
    <row r="12" customFormat="false" ht="15" hidden="false" customHeight="false" outlineLevel="0" collapsed="false">
      <c r="B12" s="19" t="s">
        <v>142</v>
      </c>
      <c r="C12" s="19" t="n">
        <f aca="false">SUM(C7:G11)</f>
        <v>15</v>
      </c>
    </row>
    <row r="16" customFormat="false" ht="15" hidden="false" customHeight="false" outlineLevel="0" collapsed="false">
      <c r="A16" s="3" t="s">
        <v>143</v>
      </c>
    </row>
    <row r="17" customFormat="false" ht="15" hidden="false" customHeight="false" outlineLevel="0" collapsed="false">
      <c r="C17" s="17" t="s">
        <v>140</v>
      </c>
      <c r="D17" s="17"/>
      <c r="E17" s="17"/>
      <c r="F17" s="17"/>
      <c r="G17" s="17"/>
    </row>
    <row r="18" customFormat="false" ht="15" hidden="false" customHeight="false" outlineLevel="0" collapsed="false">
      <c r="C18" s="18" t="n">
        <v>1</v>
      </c>
      <c r="D18" s="18" t="n">
        <v>2</v>
      </c>
      <c r="E18" s="18" t="n">
        <v>3</v>
      </c>
      <c r="F18" s="18" t="n">
        <v>4</v>
      </c>
      <c r="G18" s="18" t="n">
        <v>5</v>
      </c>
    </row>
    <row r="19" customFormat="false" ht="39.75" hidden="false" customHeight="true" outlineLevel="0" collapsed="false">
      <c r="A19" s="19" t="s">
        <v>141</v>
      </c>
      <c r="B19" s="20" t="n">
        <v>5</v>
      </c>
      <c r="C19" s="21" t="n">
        <f aca="false">COUNTIFS(Register!$M$5:$M$54,C$18,Register!$N$5:$N$54,$B19)</f>
        <v>3</v>
      </c>
      <c r="D19" s="21" t="n">
        <f aca="false">COUNTIFS(Register!$M$5:$M$54,D$18,Register!$N$5:$N$54,$B19)</f>
        <v>2</v>
      </c>
      <c r="E19" s="21" t="n">
        <f aca="false">COUNTIFS(Register!$M$5:$M$54,E$18,Register!$N$5:$N$54,$B19)</f>
        <v>0</v>
      </c>
      <c r="F19" s="21" t="n">
        <f aca="false">COUNTIFS(Register!$M$5:$M$54,F$18,Register!$N$5:$N$54,$B19)</f>
        <v>0</v>
      </c>
      <c r="G19" s="21" t="n">
        <f aca="false">COUNTIFS(Register!$M$5:$M$54,G$18,Register!$N$5:$N$54,$B19)</f>
        <v>0</v>
      </c>
    </row>
    <row r="20" customFormat="false" ht="39.75" hidden="false" customHeight="true" outlineLevel="0" collapsed="false">
      <c r="B20" s="20" t="n">
        <v>4</v>
      </c>
      <c r="C20" s="21" t="n">
        <f aca="false">COUNTIFS(Register!$M$5:$M$54,C$18,Register!$N$5:$N$54,$B20)</f>
        <v>3</v>
      </c>
      <c r="D20" s="21" t="n">
        <f aca="false">COUNTIFS(Register!$M$5:$M$54,D$18,Register!$N$5:$N$54,$B20)</f>
        <v>1</v>
      </c>
      <c r="E20" s="21" t="n">
        <f aca="false">COUNTIFS(Register!$M$5:$M$54,E$18,Register!$N$5:$N$54,$B20)</f>
        <v>0</v>
      </c>
      <c r="F20" s="21" t="n">
        <f aca="false">COUNTIFS(Register!$M$5:$M$54,F$18,Register!$N$5:$N$54,$B20)</f>
        <v>0</v>
      </c>
      <c r="G20" s="21" t="n">
        <f aca="false">COUNTIFS(Register!$M$5:$M$54,G$18,Register!$N$5:$N$54,$B20)</f>
        <v>0</v>
      </c>
    </row>
    <row r="21" customFormat="false" ht="39.75" hidden="false" customHeight="true" outlineLevel="0" collapsed="false">
      <c r="B21" s="20" t="n">
        <v>3</v>
      </c>
      <c r="C21" s="21" t="n">
        <f aca="false">COUNTIFS(Register!$M$5:$M$54,C$18,Register!$N$5:$N$54,$B21)</f>
        <v>5</v>
      </c>
      <c r="D21" s="21" t="n">
        <f aca="false">COUNTIFS(Register!$M$5:$M$54,D$18,Register!$N$5:$N$54,$B21)</f>
        <v>1</v>
      </c>
      <c r="E21" s="21" t="n">
        <f aca="false">COUNTIFS(Register!$M$5:$M$54,E$18,Register!$N$5:$N$54,$B21)</f>
        <v>0</v>
      </c>
      <c r="F21" s="21" t="n">
        <f aca="false">COUNTIFS(Register!$M$5:$M$54,F$18,Register!$N$5:$N$54,$B21)</f>
        <v>0</v>
      </c>
      <c r="G21" s="21" t="n">
        <f aca="false">COUNTIFS(Register!$M$5:$M$54,G$18,Register!$N$5:$N$54,$B21)</f>
        <v>0</v>
      </c>
    </row>
    <row r="22" customFormat="false" ht="39.75" hidden="false" customHeight="true" outlineLevel="0" collapsed="false">
      <c r="B22" s="20" t="n">
        <v>2</v>
      </c>
      <c r="C22" s="21" t="n">
        <f aca="false">COUNTIFS(Register!$M$5:$M$54,C$18,Register!$N$5:$N$54,$B22)</f>
        <v>0</v>
      </c>
      <c r="D22" s="21" t="n">
        <f aca="false">COUNTIFS(Register!$M$5:$M$54,D$18,Register!$N$5:$N$54,$B22)</f>
        <v>0</v>
      </c>
      <c r="E22" s="21" t="n">
        <f aca="false">COUNTIFS(Register!$M$5:$M$54,E$18,Register!$N$5:$N$54,$B22)</f>
        <v>0</v>
      </c>
      <c r="F22" s="21" t="n">
        <f aca="false">COUNTIFS(Register!$M$5:$M$54,F$18,Register!$N$5:$N$54,$B22)</f>
        <v>0</v>
      </c>
      <c r="G22" s="21" t="n">
        <f aca="false">COUNTIFS(Register!$M$5:$M$54,G$18,Register!$N$5:$N$54,$B22)</f>
        <v>0</v>
      </c>
    </row>
    <row r="23" customFormat="false" ht="39.75" hidden="false" customHeight="true" outlineLevel="0" collapsed="false">
      <c r="B23" s="20" t="n">
        <v>1</v>
      </c>
      <c r="C23" s="21" t="n">
        <f aca="false">COUNTIFS(Register!$M$5:$M$54,C$18,Register!$N$5:$N$54,$B23)</f>
        <v>0</v>
      </c>
      <c r="D23" s="21" t="n">
        <f aca="false">COUNTIFS(Register!$M$5:$M$54,D$18,Register!$N$5:$N$54,$B23)</f>
        <v>0</v>
      </c>
      <c r="E23" s="21" t="n">
        <f aca="false">COUNTIFS(Register!$M$5:$M$54,E$18,Register!$N$5:$N$54,$B23)</f>
        <v>0</v>
      </c>
      <c r="F23" s="21" t="n">
        <f aca="false">COUNTIFS(Register!$M$5:$M$54,F$18,Register!$N$5:$N$54,$B23)</f>
        <v>0</v>
      </c>
      <c r="G23" s="21" t="n">
        <f aca="false">COUNTIFS(Register!$M$5:$M$54,G$18,Register!$N$5:$N$54,$B23)</f>
        <v>0</v>
      </c>
    </row>
    <row r="24" customFormat="false" ht="15" hidden="false" customHeight="false" outlineLevel="0" collapsed="false">
      <c r="B24" s="19" t="s">
        <v>142</v>
      </c>
      <c r="C24" s="19" t="n">
        <f aca="false">SUM(C19:G23)</f>
        <v>15</v>
      </c>
    </row>
  </sheetData>
  <mergeCells count="2">
    <mergeCell ref="C5:G5"/>
    <mergeCell ref="C17:G17"/>
  </mergeCells>
  <conditionalFormatting sqref="C7:G11">
    <cfRule type="expression" priority="2" aboveAverage="0" equalAverage="0" bottom="0" percent="0" rank="0" text="" dxfId="11">
      <formula>C$6*$B7&gt;=Scale!$B$8</formula>
    </cfRule>
    <cfRule type="expression" priority="3" aboveAverage="0" equalAverage="0" bottom="0" percent="0" rank="0" text="" dxfId="12">
      <formula>C$6*$B7&gt;=Scale!$B$7</formula>
    </cfRule>
    <cfRule type="expression" priority="4" aboveAverage="0" equalAverage="0" bottom="0" percent="0" rank="0" text="" dxfId="13">
      <formula>C$6*$B7&gt;=Scale!$B$6</formula>
    </cfRule>
    <cfRule type="expression" priority="5" aboveAverage="0" equalAverage="0" bottom="0" percent="0" rank="0" text="" dxfId="14">
      <formula>C$6*$B7&gt;=Scale!$B$5</formula>
    </cfRule>
  </conditionalFormatting>
  <conditionalFormatting sqref="C19:G23">
    <cfRule type="expression" priority="6" aboveAverage="0" equalAverage="0" bottom="0" percent="0" rank="0" text="" dxfId="11">
      <formula>C$18*$B19&gt;=Scale!$B$8</formula>
    </cfRule>
    <cfRule type="expression" priority="7" aboveAverage="0" equalAverage="0" bottom="0" percent="0" rank="0" text="" dxfId="12">
      <formula>C$18*$B19&gt;=Scale!$B$7</formula>
    </cfRule>
    <cfRule type="expression" priority="8" aboveAverage="0" equalAverage="0" bottom="0" percent="0" rank="0" text="" dxfId="13">
      <formula>C$18*$B19&gt;=Scale!$B$6</formula>
    </cfRule>
    <cfRule type="expression" priority="9" aboveAverage="0" equalAverage="0" bottom="0" percent="0" rank="0" text="" dxfId="14">
      <formula>C$18*$B19&gt;=Scale!$B$5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" t="s">
        <v>146</v>
      </c>
      <c r="E4" s="3" t="s">
        <v>147</v>
      </c>
    </row>
    <row r="5" customFormat="false" ht="15" hidden="false" customHeight="false" outlineLevel="0" collapsed="false">
      <c r="A5" s="7" t="s">
        <v>148</v>
      </c>
      <c r="B5" s="7" t="s">
        <v>149</v>
      </c>
      <c r="C5" s="7" t="s">
        <v>150</v>
      </c>
      <c r="E5" s="22" t="s">
        <v>151</v>
      </c>
      <c r="F5" s="23"/>
      <c r="G5" s="24" t="n">
        <f aca="false">AVERAGE(Register!$H$5:$H$54)</f>
        <v>13.0666666666667</v>
      </c>
    </row>
    <row r="6" customFormat="false" ht="15" hidden="false" customHeight="false" outlineLevel="0" collapsed="false">
      <c r="A6" s="22" t="s">
        <v>152</v>
      </c>
      <c r="B6" s="25" t="n">
        <f aca="false">COUNTIF(Register!$I$5:$I$54,A6)</f>
        <v>7</v>
      </c>
      <c r="C6" s="25" t="n">
        <f aca="false">COUNTIF(Register!$P$5:$P$54,A6)</f>
        <v>0</v>
      </c>
      <c r="E6" s="22" t="s">
        <v>153</v>
      </c>
      <c r="F6" s="23"/>
      <c r="G6" s="24" t="n">
        <f aca="false">AVERAGE(Register!$O$5:$O$54)</f>
        <v>5.06666666666667</v>
      </c>
    </row>
    <row r="7" customFormat="false" ht="15" hidden="false" customHeight="false" outlineLevel="0" collapsed="false">
      <c r="A7" s="22" t="s">
        <v>154</v>
      </c>
      <c r="B7" s="25" t="n">
        <f aca="false">COUNTIF(Register!$I$5:$I$54,A7)</f>
        <v>4</v>
      </c>
      <c r="C7" s="25" t="n">
        <f aca="false">COUNTIF(Register!$P$5:$P$54,A7)</f>
        <v>2</v>
      </c>
      <c r="E7" s="22" t="s">
        <v>155</v>
      </c>
      <c r="F7" s="23"/>
      <c r="G7" s="26" t="n">
        <f aca="false">AVERAGE(Register!$Q$5:$Q$54)</f>
        <v>0.603333333333333</v>
      </c>
    </row>
    <row r="8" customFormat="false" ht="15" hidden="false" customHeight="false" outlineLevel="0" collapsed="false">
      <c r="A8" s="22" t="s">
        <v>156</v>
      </c>
      <c r="B8" s="25" t="n">
        <f aca="false">COUNTIF(Register!$I$5:$I$54,A8)</f>
        <v>4</v>
      </c>
      <c r="C8" s="25" t="n">
        <f aca="false">COUNTIF(Register!$P$5:$P$54,A8)</f>
        <v>5</v>
      </c>
      <c r="E8" s="22" t="s">
        <v>157</v>
      </c>
      <c r="F8" s="23"/>
      <c r="G8" s="27" t="n">
        <f aca="false">COUNTIF(Register!$R$5:$R$54,"Open")+COUNTIF(Register!$R$5:$R$54,"In Progress")</f>
        <v>14</v>
      </c>
    </row>
    <row r="9" customFormat="false" ht="15" hidden="false" customHeight="false" outlineLevel="0" collapsed="false">
      <c r="A9" s="22" t="s">
        <v>158</v>
      </c>
      <c r="B9" s="25" t="n">
        <f aca="false">COUNTIF(Register!$I$5:$I$54,A9)</f>
        <v>0</v>
      </c>
      <c r="C9" s="25" t="n">
        <f aca="false">COUNTIF(Register!$P$5:$P$54,A9)</f>
        <v>8</v>
      </c>
      <c r="E9" s="22" t="s">
        <v>159</v>
      </c>
      <c r="F9" s="23"/>
      <c r="G9" s="27" t="n">
        <f aca="false">COUNTIF(Register!$U$5:$U$54,"OVERDUE")</f>
        <v>1</v>
      </c>
    </row>
    <row r="10" customFormat="false" ht="15" hidden="false" customHeight="false" outlineLevel="0" collapsed="false">
      <c r="A10" s="19" t="s">
        <v>142</v>
      </c>
      <c r="B10" s="28" t="n">
        <f aca="false">SUM(B6:B9)</f>
        <v>15</v>
      </c>
      <c r="C10" s="28" t="n">
        <f aca="false">SUM(C6:C9)</f>
        <v>15</v>
      </c>
    </row>
    <row r="12" customFormat="false" ht="15" hidden="false" customHeight="false" outlineLevel="0" collapsed="false">
      <c r="A12" s="3" t="s">
        <v>160</v>
      </c>
      <c r="E12" s="3" t="s">
        <v>161</v>
      </c>
    </row>
    <row r="13" customFormat="false" ht="15" hidden="false" customHeight="false" outlineLevel="0" collapsed="false">
      <c r="A13" s="7" t="s">
        <v>52</v>
      </c>
      <c r="B13" s="7" t="s">
        <v>162</v>
      </c>
      <c r="E13" s="7" t="s">
        <v>38</v>
      </c>
      <c r="F13" s="7"/>
      <c r="G13" s="7" t="s">
        <v>162</v>
      </c>
    </row>
    <row r="14" customFormat="false" ht="15" hidden="false" customHeight="false" outlineLevel="0" collapsed="false">
      <c r="A14" s="22" t="s">
        <v>77</v>
      </c>
      <c r="B14" s="25" t="n">
        <f aca="false">COUNTIF(Register!$R$5:$R$54,A14)</f>
        <v>11</v>
      </c>
      <c r="E14" s="22" t="s">
        <v>60</v>
      </c>
      <c r="F14" s="23"/>
      <c r="G14" s="25" t="n">
        <f aca="false">COUNTIF(Register!$D$5:$D$54,E14)</f>
        <v>4</v>
      </c>
    </row>
    <row r="15" customFormat="false" ht="15" hidden="false" customHeight="false" outlineLevel="0" collapsed="false">
      <c r="A15" s="22" t="s">
        <v>65</v>
      </c>
      <c r="B15" s="25" t="n">
        <f aca="false">COUNTIF(Register!$R$5:$R$54,A15)</f>
        <v>3</v>
      </c>
      <c r="E15" s="22" t="s">
        <v>86</v>
      </c>
      <c r="F15" s="23"/>
      <c r="G15" s="25" t="n">
        <f aca="false">COUNTIF(Register!$D$5:$D$54,E15)</f>
        <v>4</v>
      </c>
    </row>
    <row r="16" customFormat="false" ht="15" hidden="false" customHeight="false" outlineLevel="0" collapsed="false">
      <c r="A16" s="22" t="s">
        <v>126</v>
      </c>
      <c r="B16" s="25" t="n">
        <f aca="false">COUNTIF(Register!$R$5:$R$54,A16)</f>
        <v>1</v>
      </c>
      <c r="E16" s="22" t="s">
        <v>105</v>
      </c>
      <c r="F16" s="23"/>
      <c r="G16" s="25" t="n">
        <f aca="false">COUNTIF(Register!$D$5:$D$54,E16)</f>
        <v>7</v>
      </c>
    </row>
    <row r="19" customFormat="false" ht="15" hidden="false" customHeight="false" outlineLevel="0" collapsed="false">
      <c r="A19" s="3" t="s">
        <v>163</v>
      </c>
    </row>
    <row r="20" customFormat="false" ht="15" hidden="false" customHeight="false" outlineLevel="0" collapsed="false">
      <c r="A20" s="7" t="s">
        <v>37</v>
      </c>
      <c r="B20" s="7" t="s">
        <v>162</v>
      </c>
      <c r="C20" s="7" t="s">
        <v>164</v>
      </c>
    </row>
    <row r="21" customFormat="false" ht="15" hidden="false" customHeight="false" outlineLevel="0" collapsed="false">
      <c r="A21" s="22" t="s">
        <v>59</v>
      </c>
      <c r="B21" s="25" t="n">
        <f aca="false">COUNTIF(Register!$C$5:$C$54,A21)</f>
        <v>4</v>
      </c>
      <c r="C21" s="25" t="n">
        <f aca="false">SUMIF(Register!$C$5:$C$54,A21,Register!$H$5:$H$54)</f>
        <v>52</v>
      </c>
    </row>
    <row r="22" customFormat="false" ht="15" hidden="false" customHeight="false" outlineLevel="0" collapsed="false">
      <c r="A22" s="22" t="s">
        <v>73</v>
      </c>
      <c r="B22" s="25" t="n">
        <f aca="false">COUNTIF(Register!$C$5:$C$54,A22)</f>
        <v>1</v>
      </c>
      <c r="C22" s="25" t="n">
        <f aca="false">SUMIF(Register!$C$5:$C$54,A22,Register!$H$5:$H$54)</f>
        <v>16</v>
      </c>
    </row>
    <row r="23" customFormat="false" ht="15" hidden="false" customHeight="false" outlineLevel="0" collapsed="false">
      <c r="A23" s="22" t="s">
        <v>80</v>
      </c>
      <c r="B23" s="25" t="n">
        <f aca="false">COUNTIF(Register!$C$5:$C$54,A23)</f>
        <v>1</v>
      </c>
      <c r="C23" s="25" t="n">
        <f aca="false">SUMIF(Register!$C$5:$C$54,A23,Register!$H$5:$H$54)</f>
        <v>12</v>
      </c>
    </row>
    <row r="24" customFormat="false" ht="15" hidden="false" customHeight="false" outlineLevel="0" collapsed="false">
      <c r="A24" s="22" t="s">
        <v>85</v>
      </c>
      <c r="B24" s="25" t="n">
        <f aca="false">COUNTIF(Register!$C$5:$C$54,A24)</f>
        <v>2</v>
      </c>
      <c r="C24" s="25" t="n">
        <f aca="false">SUMIF(Register!$C$5:$C$54,A24,Register!$H$5:$H$54)</f>
        <v>35</v>
      </c>
    </row>
    <row r="25" customFormat="false" ht="15" hidden="false" customHeight="false" outlineLevel="0" collapsed="false">
      <c r="A25" s="22" t="s">
        <v>95</v>
      </c>
      <c r="B25" s="25" t="n">
        <f aca="false">COUNTIF(Register!$C$5:$C$54,A25)</f>
        <v>3</v>
      </c>
      <c r="C25" s="25" t="n">
        <f aca="false">SUMIF(Register!$C$5:$C$54,A25,Register!$H$5:$H$54)</f>
        <v>27</v>
      </c>
    </row>
    <row r="26" customFormat="false" ht="15" hidden="false" customHeight="false" outlineLevel="0" collapsed="false">
      <c r="A26" s="22" t="s">
        <v>104</v>
      </c>
      <c r="B26" s="25" t="n">
        <f aca="false">COUNTIF(Register!$C$5:$C$54,A26)</f>
        <v>1</v>
      </c>
      <c r="C26" s="25" t="n">
        <f aca="false">SUMIF(Register!$C$5:$C$54,A26,Register!$H$5:$H$54)</f>
        <v>20</v>
      </c>
    </row>
    <row r="27" customFormat="false" ht="15" hidden="false" customHeight="false" outlineLevel="0" collapsed="false">
      <c r="A27" s="22" t="s">
        <v>114</v>
      </c>
      <c r="B27" s="25" t="n">
        <f aca="false">COUNTIF(Register!$C$5:$C$54,A27)</f>
        <v>1</v>
      </c>
      <c r="C27" s="25" t="n">
        <f aca="false">SUMIF(Register!$C$5:$C$54,A27,Register!$H$5:$H$54)</f>
        <v>15</v>
      </c>
    </row>
    <row r="28" customFormat="false" ht="15" hidden="false" customHeight="false" outlineLevel="0" collapsed="false">
      <c r="A28" s="22" t="s">
        <v>123</v>
      </c>
      <c r="B28" s="25" t="n">
        <f aca="false">COUNTIF(Register!$C$5:$C$54,A28)</f>
        <v>1</v>
      </c>
      <c r="C28" s="25" t="n">
        <f aca="false">SUMIF(Register!$C$5:$C$54,A28,Register!$H$5:$H$54)</f>
        <v>10</v>
      </c>
    </row>
    <row r="29" customFormat="false" ht="15" hidden="false" customHeight="false" outlineLevel="0" collapsed="false">
      <c r="A29" s="22" t="s">
        <v>133</v>
      </c>
      <c r="B29" s="25" t="n">
        <f aca="false">COUNTIF(Register!$C$5:$C$54,A29)</f>
        <v>1</v>
      </c>
      <c r="C29" s="25" t="n">
        <f aca="false">SUMIF(Register!$C$5:$C$54,A29,Register!$H$5:$H$54)</f>
        <v>9</v>
      </c>
    </row>
    <row r="30" customFormat="false" ht="15" hidden="false" customHeight="false" outlineLevel="0" collapsed="false">
      <c r="A30" s="19" t="s">
        <v>142</v>
      </c>
      <c r="B30" s="28" t="n">
        <f aca="false">SUM(B21:B29)</f>
        <v>15</v>
      </c>
      <c r="C30" s="28" t="n">
        <f aca="false">SUM(C21:C29)</f>
        <v>196</v>
      </c>
    </row>
    <row r="32" customFormat="false" ht="15" hidden="false" customHeight="false" outlineLevel="0" collapsed="false">
      <c r="A32" s="3" t="s">
        <v>165</v>
      </c>
    </row>
    <row r="33" customFormat="false" ht="15" hidden="false" customHeight="false" outlineLevel="0" collapsed="false">
      <c r="A33" s="7" t="s">
        <v>166</v>
      </c>
      <c r="B33" s="7" t="s">
        <v>35</v>
      </c>
      <c r="C33" s="7" t="s">
        <v>167</v>
      </c>
      <c r="D33" s="7" t="s">
        <v>149</v>
      </c>
      <c r="E33" s="7" t="s">
        <v>148</v>
      </c>
      <c r="F33" s="7" t="s">
        <v>150</v>
      </c>
      <c r="G33" s="7" t="s">
        <v>168</v>
      </c>
      <c r="H33" s="7" t="s">
        <v>52</v>
      </c>
    </row>
    <row r="34" customFormat="false" ht="23.85" hidden="false" customHeight="false" outlineLevel="0" collapsed="false">
      <c r="A34" s="25" t="n">
        <v>1</v>
      </c>
      <c r="B34" s="25" t="str">
        <f aca="false">INDEX(Register!$A$5:$A$54,MATCH(LARGE(Register!$V$5:$V$54,1),Register!$V$5:$V$54,0))</f>
        <v>R-05</v>
      </c>
      <c r="C34" s="29" t="str">
        <f aca="false">INDEX(Register!$B$5:$B$54,MATCH(LARGE(Register!$V$5:$V$54,1),Register!$V$5:$V$54,0))</f>
        <v>Customer database reachable from the public internet</v>
      </c>
      <c r="D34" s="25" t="n">
        <f aca="false">INDEX(Register!$H$5:$H$54,MATCH(LARGE(Register!$V$5:$V$54,1),Register!$V$5:$V$54,0))</f>
        <v>20</v>
      </c>
      <c r="E34" s="30" t="str">
        <f aca="false">INDEX(Register!$I$5:$I$54,MATCH(LARGE(Register!$V$5:$V$54,1),Register!$V$5:$V$54,0))</f>
        <v>Critical</v>
      </c>
      <c r="F34" s="25" t="n">
        <f aca="false">INDEX(Register!$O$5:$O$54,MATCH(LARGE(Register!$V$5:$V$54,1),Register!$V$5:$V$54,0))</f>
        <v>5</v>
      </c>
      <c r="G34" s="25" t="str">
        <f aca="false">INDEX(Register!$J$5:$J$54,MATCH(LARGE(Register!$V$5:$V$54,1),Register!$V$5:$V$54,0))</f>
        <v>IT Infrastructure</v>
      </c>
      <c r="H34" s="25" t="str">
        <f aca="false">INDEX(Register!$R$5:$R$54,MATCH(LARGE(Register!$V$5:$V$54,1),Register!$V$5:$V$54,0))</f>
        <v>Open</v>
      </c>
    </row>
    <row r="35" customFormat="false" ht="15" hidden="false" customHeight="false" outlineLevel="0" collapsed="false">
      <c r="A35" s="25" t="n">
        <v>2</v>
      </c>
      <c r="B35" s="25" t="str">
        <f aca="false">INDEX(Register!$A$5:$A$54,MATCH(LARGE(Register!$V$5:$V$54,2),Register!$V$5:$V$54,0))</f>
        <v>R-09</v>
      </c>
      <c r="C35" s="29" t="str">
        <f aca="false">INDEX(Register!$B$5:$B$54,MATCH(LARGE(Register!$V$5:$V$54,2),Register!$V$5:$V$54,0))</f>
        <v>Unpatched ERP server vulnerability</v>
      </c>
      <c r="D35" s="25" t="n">
        <f aca="false">INDEX(Register!$H$5:$H$54,MATCH(LARGE(Register!$V$5:$V$54,2),Register!$V$5:$V$54,0))</f>
        <v>20</v>
      </c>
      <c r="E35" s="30" t="str">
        <f aca="false">INDEX(Register!$I$5:$I$54,MATCH(LARGE(Register!$V$5:$V$54,2),Register!$V$5:$V$54,0))</f>
        <v>Critical</v>
      </c>
      <c r="F35" s="25" t="n">
        <f aca="false">INDEX(Register!$O$5:$O$54,MATCH(LARGE(Register!$V$5:$V$54,2),Register!$V$5:$V$54,0))</f>
        <v>10</v>
      </c>
      <c r="G35" s="25" t="str">
        <f aca="false">INDEX(Register!$J$5:$J$54,MATCH(LARGE(Register!$V$5:$V$54,2),Register!$V$5:$V$54,0))</f>
        <v>IT Infrastructure</v>
      </c>
      <c r="H35" s="25" t="str">
        <f aca="false">INDEX(Register!$R$5:$R$54,MATCH(LARGE(Register!$V$5:$V$54,2),Register!$V$5:$V$54,0))</f>
        <v>In Progress</v>
      </c>
    </row>
    <row r="36" customFormat="false" ht="15" hidden="false" customHeight="false" outlineLevel="0" collapsed="false">
      <c r="A36" s="25" t="n">
        <v>3</v>
      </c>
      <c r="B36" s="25" t="str">
        <f aca="false">INDEX(Register!$A$5:$A$54,MATCH(LARGE(Register!$V$5:$V$54,3),Register!$V$5:$V$54,0))</f>
        <v>R-01</v>
      </c>
      <c r="C36" s="29" t="str">
        <f aca="false">INDEX(Register!$B$5:$B$54,MATCH(LARGE(Register!$V$5:$V$54,3),Register!$V$5:$V$54,0))</f>
        <v>Terminated users retain active ERP access</v>
      </c>
      <c r="D36" s="25" t="n">
        <f aca="false">INDEX(Register!$H$5:$H$54,MATCH(LARGE(Register!$V$5:$V$54,3),Register!$V$5:$V$54,0))</f>
        <v>16</v>
      </c>
      <c r="E36" s="30" t="str">
        <f aca="false">INDEX(Register!$I$5:$I$54,MATCH(LARGE(Register!$V$5:$V$54,3),Register!$V$5:$V$54,0))</f>
        <v>Critical</v>
      </c>
      <c r="F36" s="25" t="n">
        <f aca="false">INDEX(Register!$O$5:$O$54,MATCH(LARGE(Register!$V$5:$V$54,3),Register!$V$5:$V$54,0))</f>
        <v>4</v>
      </c>
      <c r="G36" s="25" t="str">
        <f aca="false">INDEX(Register!$J$5:$J$54,MATCH(LARGE(Register!$V$5:$V$54,3),Register!$V$5:$V$54,0))</f>
        <v>IT Security</v>
      </c>
      <c r="H36" s="25" t="str">
        <f aca="false">INDEX(Register!$R$5:$R$54,MATCH(LARGE(Register!$V$5:$V$54,3),Register!$V$5:$V$54,0))</f>
        <v>In Progress</v>
      </c>
    </row>
    <row r="37" customFormat="false" ht="23.85" hidden="false" customHeight="false" outlineLevel="0" collapsed="false">
      <c r="A37" s="25" t="n">
        <v>4</v>
      </c>
      <c r="B37" s="25" t="str">
        <f aca="false">INDEX(Register!$A$5:$A$54,MATCH(LARGE(Register!$V$5:$V$54,4),Register!$V$5:$V$54,0))</f>
        <v>R-03</v>
      </c>
      <c r="C37" s="29" t="str">
        <f aca="false">INDEX(Register!$B$5:$B$54,MATCH(LARGE(Register!$V$5:$V$54,4),Register!$V$5:$V$54,0))</f>
        <v>Production changes without independent approval</v>
      </c>
      <c r="D37" s="25" t="n">
        <f aca="false">INDEX(Register!$H$5:$H$54,MATCH(LARGE(Register!$V$5:$V$54,4),Register!$V$5:$V$54,0))</f>
        <v>16</v>
      </c>
      <c r="E37" s="30" t="str">
        <f aca="false">INDEX(Register!$I$5:$I$54,MATCH(LARGE(Register!$V$5:$V$54,4),Register!$V$5:$V$54,0))</f>
        <v>Critical</v>
      </c>
      <c r="F37" s="25" t="n">
        <f aca="false">INDEX(Register!$O$5:$O$54,MATCH(LARGE(Register!$V$5:$V$54,4),Register!$V$5:$V$54,0))</f>
        <v>8</v>
      </c>
      <c r="G37" s="25" t="str">
        <f aca="false">INDEX(Register!$J$5:$J$54,MATCH(LARGE(Register!$V$5:$V$54,4),Register!$V$5:$V$54,0))</f>
        <v>IT Infrastructure</v>
      </c>
      <c r="H37" s="25" t="str">
        <f aca="false">INDEX(Register!$R$5:$R$54,MATCH(LARGE(Register!$V$5:$V$54,4),Register!$V$5:$V$54,0))</f>
        <v>Open</v>
      </c>
    </row>
    <row r="38" customFormat="false" ht="15" hidden="false" customHeight="false" outlineLevel="0" collapsed="false">
      <c r="A38" s="25" t="n">
        <v>5</v>
      </c>
      <c r="B38" s="25" t="str">
        <f aca="false">INDEX(Register!$A$5:$A$54,MATCH(LARGE(Register!$V$5:$V$54,5),Register!$V$5:$V$54,0))</f>
        <v>R-06</v>
      </c>
      <c r="C38" s="29" t="str">
        <f aca="false">INDEX(Register!$B$5:$B$54,MATCH(LARGE(Register!$V$5:$V$54,5),Register!$V$5:$V$54,0))</f>
        <v>Automated scanners find the exposed database</v>
      </c>
      <c r="D38" s="25" t="n">
        <f aca="false">INDEX(Register!$H$5:$H$54,MATCH(LARGE(Register!$V$5:$V$54,5),Register!$V$5:$V$54,0))</f>
        <v>15</v>
      </c>
      <c r="E38" s="30" t="str">
        <f aca="false">INDEX(Register!$I$5:$I$54,MATCH(LARGE(Register!$V$5:$V$54,5),Register!$V$5:$V$54,0))</f>
        <v>Critical</v>
      </c>
      <c r="F38" s="25" t="n">
        <f aca="false">INDEX(Register!$O$5:$O$54,MATCH(LARGE(Register!$V$5:$V$54,5),Register!$V$5:$V$54,0))</f>
        <v>3</v>
      </c>
      <c r="G38" s="25" t="str">
        <f aca="false">INDEX(Register!$J$5:$J$54,MATCH(LARGE(Register!$V$5:$V$54,5),Register!$V$5:$V$54,0))</f>
        <v>IT Infrastructure</v>
      </c>
      <c r="H38" s="25" t="str">
        <f aca="false">INDEX(Register!$R$5:$R$54,MATCH(LARGE(Register!$V$5:$V$54,5),Register!$V$5:$V$54,0))</f>
        <v>Open</v>
      </c>
    </row>
  </sheetData>
  <conditionalFormatting sqref="A6:A9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E34:E38">
    <cfRule type="cellIs" priority="6" operator="equal" aboveAverage="0" equalAverage="0" bottom="0" percent="0" rank="0" text="" dxfId="11">
      <formula>"Critical"</formula>
    </cfRule>
    <cfRule type="cellIs" priority="7" operator="equal" aboveAverage="0" equalAverage="0" bottom="0" percent="0" rank="0" text="" dxfId="12">
      <formula>"High"</formula>
    </cfRule>
    <cfRule type="cellIs" priority="8" operator="equal" aboveAverage="0" equalAverage="0" bottom="0" percent="0" rank="0" text="" dxfId="13">
      <formula>"Medium"</formula>
    </cfRule>
    <cfRule type="cellIs" priority="9" operator="equal" aboveAverage="0" equalAverage="0" bottom="0" percent="0" rank="0" text="" dxfId="14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169</v>
      </c>
    </row>
    <row r="4" customFormat="false" ht="15" hidden="false" customHeight="false" outlineLevel="0" collapsed="false">
      <c r="A4" s="7" t="s">
        <v>148</v>
      </c>
      <c r="B4" s="7" t="s">
        <v>170</v>
      </c>
      <c r="C4" s="7" t="s">
        <v>171</v>
      </c>
    </row>
    <row r="5" customFormat="false" ht="15" hidden="false" customHeight="false" outlineLevel="0" collapsed="false">
      <c r="A5" s="31" t="s">
        <v>158</v>
      </c>
      <c r="B5" s="32" t="n">
        <v>1</v>
      </c>
      <c r="C5" s="33" t="s">
        <v>172</v>
      </c>
    </row>
    <row r="6" customFormat="false" ht="15" hidden="false" customHeight="false" outlineLevel="0" collapsed="false">
      <c r="A6" s="34" t="s">
        <v>156</v>
      </c>
      <c r="B6" s="32" t="n">
        <v>5</v>
      </c>
      <c r="C6" s="33" t="s">
        <v>173</v>
      </c>
    </row>
    <row r="7" customFormat="false" ht="15" hidden="false" customHeight="false" outlineLevel="0" collapsed="false">
      <c r="A7" s="35" t="s">
        <v>154</v>
      </c>
      <c r="B7" s="32" t="n">
        <v>10</v>
      </c>
      <c r="C7" s="33" t="s">
        <v>174</v>
      </c>
    </row>
    <row r="8" customFormat="false" ht="15" hidden="false" customHeight="false" outlineLevel="0" collapsed="false">
      <c r="A8" s="36" t="s">
        <v>152</v>
      </c>
      <c r="B8" s="32" t="n">
        <v>15</v>
      </c>
      <c r="C8" s="33" t="s">
        <v>175</v>
      </c>
    </row>
    <row r="10" customFormat="false" ht="15" hidden="false" customHeight="false" outlineLevel="0" collapsed="false">
      <c r="A10" s="3" t="s">
        <v>176</v>
      </c>
    </row>
    <row r="11" customFormat="false" ht="15" hidden="false" customHeight="false" outlineLevel="0" collapsed="false">
      <c r="A11" s="19" t="s">
        <v>177</v>
      </c>
      <c r="B11" s="37" t="n">
        <v>46325</v>
      </c>
      <c r="C11" s="2" t="s">
        <v>178</v>
      </c>
    </row>
    <row r="14" customFormat="false" ht="15" hidden="false" customHeight="false" outlineLevel="0" collapsed="false">
      <c r="A14" s="7" t="s">
        <v>140</v>
      </c>
      <c r="B14" s="7" t="s">
        <v>179</v>
      </c>
      <c r="C14" s="7" t="s">
        <v>180</v>
      </c>
    </row>
    <row r="15" customFormat="false" ht="15" hidden="false" customHeight="false" outlineLevel="0" collapsed="false">
      <c r="A15" s="33" t="n">
        <v>1</v>
      </c>
      <c r="B15" s="33" t="s">
        <v>181</v>
      </c>
      <c r="C15" s="33" t="s">
        <v>182</v>
      </c>
    </row>
    <row r="16" customFormat="false" ht="15" hidden="false" customHeight="false" outlineLevel="0" collapsed="false">
      <c r="A16" s="33" t="n">
        <v>2</v>
      </c>
      <c r="B16" s="33" t="s">
        <v>183</v>
      </c>
      <c r="C16" s="33" t="s">
        <v>184</v>
      </c>
    </row>
    <row r="17" customFormat="false" ht="15" hidden="false" customHeight="false" outlineLevel="0" collapsed="false">
      <c r="A17" s="33" t="n">
        <v>3</v>
      </c>
      <c r="B17" s="33" t="s">
        <v>185</v>
      </c>
      <c r="C17" s="33" t="s">
        <v>186</v>
      </c>
    </row>
    <row r="18" customFormat="false" ht="15" hidden="false" customHeight="false" outlineLevel="0" collapsed="false">
      <c r="A18" s="33" t="n">
        <v>4</v>
      </c>
      <c r="B18" s="33" t="s">
        <v>187</v>
      </c>
      <c r="C18" s="33" t="s">
        <v>188</v>
      </c>
    </row>
    <row r="19" customFormat="false" ht="15" hidden="false" customHeight="false" outlineLevel="0" collapsed="false">
      <c r="A19" s="33" t="n">
        <v>5</v>
      </c>
      <c r="B19" s="33" t="s">
        <v>189</v>
      </c>
      <c r="C19" s="33" t="s">
        <v>190</v>
      </c>
    </row>
    <row r="21" customFormat="false" ht="15" hidden="false" customHeight="false" outlineLevel="0" collapsed="false">
      <c r="A21" s="7" t="s">
        <v>141</v>
      </c>
      <c r="B21" s="7" t="s">
        <v>179</v>
      </c>
      <c r="C21" s="7" t="s">
        <v>180</v>
      </c>
    </row>
    <row r="22" customFormat="false" ht="15" hidden="false" customHeight="false" outlineLevel="0" collapsed="false">
      <c r="A22" s="33" t="n">
        <v>1</v>
      </c>
      <c r="B22" s="33" t="s">
        <v>191</v>
      </c>
      <c r="C22" s="33" t="s">
        <v>192</v>
      </c>
    </row>
    <row r="23" customFormat="false" ht="15" hidden="false" customHeight="false" outlineLevel="0" collapsed="false">
      <c r="A23" s="33" t="n">
        <v>2</v>
      </c>
      <c r="B23" s="33" t="s">
        <v>193</v>
      </c>
      <c r="C23" s="33" t="s">
        <v>194</v>
      </c>
    </row>
    <row r="24" customFormat="false" ht="15" hidden="false" customHeight="false" outlineLevel="0" collapsed="false">
      <c r="A24" s="33" t="n">
        <v>3</v>
      </c>
      <c r="B24" s="33" t="s">
        <v>195</v>
      </c>
      <c r="C24" s="33" t="s">
        <v>196</v>
      </c>
    </row>
    <row r="25" customFormat="false" ht="15" hidden="false" customHeight="false" outlineLevel="0" collapsed="false">
      <c r="A25" s="33" t="n">
        <v>4</v>
      </c>
      <c r="B25" s="33" t="s">
        <v>197</v>
      </c>
      <c r="C25" s="33" t="s">
        <v>198</v>
      </c>
    </row>
    <row r="26" customFormat="false" ht="15" hidden="false" customHeight="false" outlineLevel="0" collapsed="false">
      <c r="A26" s="33" t="n">
        <v>5</v>
      </c>
      <c r="B26" s="33" t="s">
        <v>199</v>
      </c>
      <c r="C26" s="3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2026-10-30T21:15:56Z</dcterms:created>
  <dc:creator>openpyxl</dc:creator>
  <dc:description/>
  <dc:language>en-US</dc:language>
  <cp:lastModifiedBy/>
  <dcterms:modified xsi:type="dcterms:W3CDTF">2026-10-30T17:15:57Z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